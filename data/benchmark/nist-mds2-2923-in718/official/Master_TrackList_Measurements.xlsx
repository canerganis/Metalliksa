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Samples\Single_Track_DataSet_2023\"/>
    </mc:Choice>
  </mc:AlternateContent>
  <xr:revisionPtr revIDLastSave="0" documentId="13_ncr:1_{F2F30FFA-8EA8-4A4B-86F4-76BCB1F11109}" xr6:coauthVersionLast="47" xr6:coauthVersionMax="47" xr10:uidLastSave="{00000000-0000-0000-0000-000000000000}"/>
  <bookViews>
    <workbookView xWindow="7200" yWindow="660" windowWidth="21600" windowHeight="11385" activeTab="1" xr2:uid="{45EE32B8-95DF-458D-94BD-84BD73344949}"/>
  </bookViews>
  <sheets>
    <sheet name="Data" sheetId="1" r:id="rId1"/>
    <sheet name="Summary" sheetId="3" r:id="rId2"/>
  </sheets>
  <definedNames>
    <definedName name="_xlnm._FilterDatabase" localSheetId="0" hidden="1">Data!$V$106:$Y$163</definedName>
    <definedName name="_xlnm._FilterDatabase" localSheetId="1" hidden="1">Summary!$A$1:$S$71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1" i="3" l="1" a="1"/>
  <c r="P71" i="3" s="1"/>
  <c r="O71" i="3" a="1"/>
  <c r="O71" i="3" s="1"/>
  <c r="R71" i="3" s="1"/>
  <c r="K71" i="3" a="1"/>
  <c r="K71" i="3" s="1"/>
  <c r="J71" i="3" a="1"/>
  <c r="J71" i="3" s="1"/>
  <c r="M71" i="3" s="1"/>
  <c r="I71" i="3"/>
  <c r="F71" i="3" a="1"/>
  <c r="F71" i="3" s="1"/>
  <c r="P70" i="3" a="1"/>
  <c r="P70" i="3" s="1"/>
  <c r="O70" i="3" a="1"/>
  <c r="O70" i="3" s="1"/>
  <c r="R70" i="3" s="1"/>
  <c r="K70" i="3" a="1"/>
  <c r="K70" i="3" s="1"/>
  <c r="J70" i="3" a="1"/>
  <c r="J70" i="3" s="1"/>
  <c r="M70" i="3" s="1"/>
  <c r="I70" i="3"/>
  <c r="F70" i="3" a="1"/>
  <c r="F70" i="3" s="1"/>
  <c r="P69" i="3" a="1"/>
  <c r="P69" i="3" s="1"/>
  <c r="O69" i="3" a="1"/>
  <c r="O69" i="3" s="1"/>
  <c r="R69" i="3" s="1"/>
  <c r="K69" i="3" a="1"/>
  <c r="K69" i="3" s="1"/>
  <c r="J69" i="3" a="1"/>
  <c r="J69" i="3" s="1"/>
  <c r="M69" i="3" s="1"/>
  <c r="I69" i="3"/>
  <c r="F69" i="3" a="1"/>
  <c r="F69" i="3" s="1"/>
  <c r="P68" i="3" a="1"/>
  <c r="P68" i="3" s="1"/>
  <c r="O68" i="3" a="1"/>
  <c r="O68" i="3" s="1"/>
  <c r="R68" i="3" s="1"/>
  <c r="K68" i="3" a="1"/>
  <c r="K68" i="3" s="1"/>
  <c r="J68" i="3" a="1"/>
  <c r="J68" i="3" s="1"/>
  <c r="M68" i="3" s="1"/>
  <c r="I68" i="3"/>
  <c r="F68" i="3" a="1"/>
  <c r="F68" i="3" s="1"/>
  <c r="P67" i="3" a="1"/>
  <c r="P67" i="3" s="1"/>
  <c r="O67" i="3" a="1"/>
  <c r="O67" i="3" s="1"/>
  <c r="R67" i="3" s="1"/>
  <c r="K67" i="3" a="1"/>
  <c r="K67" i="3" s="1"/>
  <c r="J67" i="3" a="1"/>
  <c r="J67" i="3" s="1"/>
  <c r="M67" i="3" s="1"/>
  <c r="I67" i="3"/>
  <c r="F67" i="3" a="1"/>
  <c r="F67" i="3" s="1"/>
  <c r="P66" i="3" a="1"/>
  <c r="P66" i="3" s="1"/>
  <c r="O66" i="3" a="1"/>
  <c r="O66" i="3" s="1"/>
  <c r="R66" i="3" s="1"/>
  <c r="K66" i="3" a="1"/>
  <c r="K66" i="3" s="1"/>
  <c r="J66" i="3" a="1"/>
  <c r="J66" i="3" s="1"/>
  <c r="M66" i="3" s="1"/>
  <c r="I66" i="3"/>
  <c r="F66" i="3" a="1"/>
  <c r="F66" i="3" s="1"/>
  <c r="P65" i="3" a="1"/>
  <c r="P65" i="3" s="1"/>
  <c r="O65" i="3" a="1"/>
  <c r="O65" i="3" s="1"/>
  <c r="R65" i="3" s="1"/>
  <c r="K65" i="3" a="1"/>
  <c r="K65" i="3" s="1"/>
  <c r="J65" i="3" a="1"/>
  <c r="J65" i="3" s="1"/>
  <c r="M65" i="3" s="1"/>
  <c r="I65" i="3"/>
  <c r="F65" i="3" a="1"/>
  <c r="F65" i="3" s="1"/>
  <c r="P64" i="3" a="1"/>
  <c r="P64" i="3" s="1"/>
  <c r="O64" i="3" a="1"/>
  <c r="O64" i="3" s="1"/>
  <c r="R64" i="3" s="1"/>
  <c r="K64" i="3" a="1"/>
  <c r="K64" i="3" s="1"/>
  <c r="J64" i="3" a="1"/>
  <c r="J64" i="3" s="1"/>
  <c r="M64" i="3" s="1"/>
  <c r="I64" i="3"/>
  <c r="F64" i="3" a="1"/>
  <c r="F64" i="3" s="1"/>
  <c r="P63" i="3" a="1"/>
  <c r="P63" i="3" s="1"/>
  <c r="O63" i="3" a="1"/>
  <c r="O63" i="3" s="1"/>
  <c r="R63" i="3" s="1"/>
  <c r="K63" i="3" a="1"/>
  <c r="K63" i="3" s="1"/>
  <c r="J63" i="3" a="1"/>
  <c r="J63" i="3" s="1"/>
  <c r="M63" i="3" s="1"/>
  <c r="I63" i="3"/>
  <c r="F63" i="3" a="1"/>
  <c r="F63" i="3" s="1"/>
  <c r="P62" i="3" a="1"/>
  <c r="P62" i="3" s="1"/>
  <c r="O62" i="3" a="1"/>
  <c r="O62" i="3" s="1"/>
  <c r="R62" i="3" s="1"/>
  <c r="K62" i="3" a="1"/>
  <c r="K62" i="3" s="1"/>
  <c r="J62" i="3" a="1"/>
  <c r="J62" i="3" s="1"/>
  <c r="M62" i="3" s="1"/>
  <c r="I62" i="3"/>
  <c r="F62" i="3" a="1"/>
  <c r="F62" i="3" s="1"/>
  <c r="P61" i="3" a="1"/>
  <c r="P61" i="3" s="1"/>
  <c r="O61" i="3" a="1"/>
  <c r="O61" i="3" s="1"/>
  <c r="R61" i="3" s="1"/>
  <c r="K61" i="3" a="1"/>
  <c r="K61" i="3" s="1"/>
  <c r="J61" i="3" a="1"/>
  <c r="J61" i="3" s="1"/>
  <c r="M61" i="3" s="1"/>
  <c r="I61" i="3"/>
  <c r="F61" i="3" a="1"/>
  <c r="F61" i="3" s="1"/>
  <c r="P60" i="3" a="1"/>
  <c r="P60" i="3" s="1"/>
  <c r="O60" i="3" a="1"/>
  <c r="O60" i="3" s="1"/>
  <c r="R60" i="3" s="1"/>
  <c r="K60" i="3" a="1"/>
  <c r="K60" i="3" s="1"/>
  <c r="J60" i="3" a="1"/>
  <c r="J60" i="3" s="1"/>
  <c r="M60" i="3" s="1"/>
  <c r="I60" i="3"/>
  <c r="F60" i="3" a="1"/>
  <c r="F60" i="3" s="1"/>
  <c r="P59" i="3" a="1"/>
  <c r="P59" i="3" s="1"/>
  <c r="O59" i="3" a="1"/>
  <c r="O59" i="3" s="1"/>
  <c r="R59" i="3" s="1"/>
  <c r="K59" i="3" a="1"/>
  <c r="K59" i="3" s="1"/>
  <c r="J59" i="3" a="1"/>
  <c r="J59" i="3" s="1"/>
  <c r="M59" i="3" s="1"/>
  <c r="I59" i="3"/>
  <c r="F59" i="3" a="1"/>
  <c r="F59" i="3" s="1"/>
  <c r="P58" i="3" a="1"/>
  <c r="P58" i="3" s="1"/>
  <c r="O58" i="3" a="1"/>
  <c r="O58" i="3" s="1"/>
  <c r="R58" i="3" s="1"/>
  <c r="K58" i="3" a="1"/>
  <c r="K58" i="3" s="1"/>
  <c r="J58" i="3" a="1"/>
  <c r="J58" i="3" s="1"/>
  <c r="M58" i="3" s="1"/>
  <c r="I58" i="3"/>
  <c r="F58" i="3" a="1"/>
  <c r="F58" i="3" s="1"/>
  <c r="P57" i="3" a="1"/>
  <c r="P57" i="3" s="1"/>
  <c r="O57" i="3" a="1"/>
  <c r="O57" i="3" s="1"/>
  <c r="R57" i="3" s="1"/>
  <c r="K57" i="3" a="1"/>
  <c r="K57" i="3" s="1"/>
  <c r="J57" i="3" a="1"/>
  <c r="J57" i="3" s="1"/>
  <c r="M57" i="3" s="1"/>
  <c r="I57" i="3"/>
  <c r="F57" i="3" a="1"/>
  <c r="F57" i="3" s="1"/>
  <c r="P56" i="3" a="1"/>
  <c r="P56" i="3" s="1"/>
  <c r="O56" i="3" a="1"/>
  <c r="O56" i="3" s="1"/>
  <c r="R56" i="3" s="1"/>
  <c r="K56" i="3" a="1"/>
  <c r="K56" i="3" s="1"/>
  <c r="J56" i="3" a="1"/>
  <c r="J56" i="3" s="1"/>
  <c r="M56" i="3" s="1"/>
  <c r="I56" i="3"/>
  <c r="F56" i="3" a="1"/>
  <c r="F56" i="3" s="1"/>
  <c r="P55" i="3" a="1"/>
  <c r="P55" i="3" s="1"/>
  <c r="O55" i="3" a="1"/>
  <c r="O55" i="3" s="1"/>
  <c r="R55" i="3" s="1"/>
  <c r="K55" i="3" a="1"/>
  <c r="K55" i="3" s="1"/>
  <c r="J55" i="3" a="1"/>
  <c r="J55" i="3" s="1"/>
  <c r="M55" i="3" s="1"/>
  <c r="I55" i="3"/>
  <c r="F55" i="3" a="1"/>
  <c r="F55" i="3" s="1"/>
  <c r="P54" i="3" a="1"/>
  <c r="P54" i="3" s="1"/>
  <c r="O54" i="3" a="1"/>
  <c r="O54" i="3" s="1"/>
  <c r="R54" i="3" s="1"/>
  <c r="K54" i="3" a="1"/>
  <c r="K54" i="3" s="1"/>
  <c r="J54" i="3" a="1"/>
  <c r="J54" i="3" s="1"/>
  <c r="M54" i="3" s="1"/>
  <c r="I54" i="3"/>
  <c r="F54" i="3" a="1"/>
  <c r="F54" i="3" s="1"/>
  <c r="P53" i="3" a="1"/>
  <c r="P53" i="3" s="1"/>
  <c r="O53" i="3" a="1"/>
  <c r="O53" i="3" s="1"/>
  <c r="R53" i="3" s="1"/>
  <c r="K53" i="3" a="1"/>
  <c r="K53" i="3" s="1"/>
  <c r="J53" i="3" a="1"/>
  <c r="J53" i="3" s="1"/>
  <c r="M53" i="3" s="1"/>
  <c r="I53" i="3"/>
  <c r="F53" i="3" a="1"/>
  <c r="F53" i="3" s="1"/>
  <c r="P52" i="3" a="1"/>
  <c r="P52" i="3" s="1"/>
  <c r="O52" i="3" a="1"/>
  <c r="O52" i="3" s="1"/>
  <c r="R52" i="3" s="1"/>
  <c r="K52" i="3" a="1"/>
  <c r="K52" i="3" s="1"/>
  <c r="J52" i="3" a="1"/>
  <c r="J52" i="3" s="1"/>
  <c r="M52" i="3" s="1"/>
  <c r="I52" i="3"/>
  <c r="F52" i="3" a="1"/>
  <c r="F52" i="3" s="1"/>
  <c r="P51" i="3" a="1"/>
  <c r="P51" i="3" s="1"/>
  <c r="O51" i="3" a="1"/>
  <c r="O51" i="3" s="1"/>
  <c r="R51" i="3" s="1"/>
  <c r="K51" i="3" a="1"/>
  <c r="K51" i="3" s="1"/>
  <c r="J51" i="3" a="1"/>
  <c r="J51" i="3" s="1"/>
  <c r="M51" i="3" s="1"/>
  <c r="I51" i="3"/>
  <c r="F51" i="3" a="1"/>
  <c r="F51" i="3" s="1"/>
  <c r="P50" i="3" a="1"/>
  <c r="P50" i="3" s="1"/>
  <c r="O50" i="3" a="1"/>
  <c r="O50" i="3" s="1"/>
  <c r="R50" i="3" s="1"/>
  <c r="K50" i="3" a="1"/>
  <c r="K50" i="3" s="1"/>
  <c r="J50" i="3" a="1"/>
  <c r="J50" i="3" s="1"/>
  <c r="M50" i="3" s="1"/>
  <c r="I50" i="3"/>
  <c r="F50" i="3" a="1"/>
  <c r="F50" i="3" s="1"/>
  <c r="P49" i="3" a="1"/>
  <c r="P49" i="3" s="1"/>
  <c r="O49" i="3" a="1"/>
  <c r="O49" i="3" s="1"/>
  <c r="R49" i="3" s="1"/>
  <c r="K49" i="3" a="1"/>
  <c r="K49" i="3" s="1"/>
  <c r="J49" i="3" a="1"/>
  <c r="J49" i="3" s="1"/>
  <c r="M49" i="3" s="1"/>
  <c r="I49" i="3"/>
  <c r="F49" i="3" a="1"/>
  <c r="F49" i="3" s="1"/>
  <c r="P48" i="3" a="1"/>
  <c r="P48" i="3" s="1"/>
  <c r="O48" i="3" a="1"/>
  <c r="O48" i="3" s="1"/>
  <c r="R48" i="3" s="1"/>
  <c r="K48" i="3" a="1"/>
  <c r="K48" i="3" s="1"/>
  <c r="J48" i="3" a="1"/>
  <c r="J48" i="3" s="1"/>
  <c r="M48" i="3" s="1"/>
  <c r="I48" i="3"/>
  <c r="F48" i="3" a="1"/>
  <c r="F48" i="3" s="1"/>
  <c r="P47" i="3" a="1"/>
  <c r="P47" i="3" s="1"/>
  <c r="O47" i="3" a="1"/>
  <c r="O47" i="3" s="1"/>
  <c r="R47" i="3" s="1"/>
  <c r="K47" i="3" a="1"/>
  <c r="K47" i="3" s="1"/>
  <c r="J47" i="3" a="1"/>
  <c r="J47" i="3" s="1"/>
  <c r="M47" i="3" s="1"/>
  <c r="I47" i="3"/>
  <c r="F47" i="3" a="1"/>
  <c r="F47" i="3" s="1"/>
  <c r="P46" i="3" a="1"/>
  <c r="P46" i="3" s="1"/>
  <c r="O46" i="3" a="1"/>
  <c r="O46" i="3" s="1"/>
  <c r="R46" i="3" s="1"/>
  <c r="K46" i="3" a="1"/>
  <c r="K46" i="3" s="1"/>
  <c r="J46" i="3" a="1"/>
  <c r="J46" i="3" s="1"/>
  <c r="M46" i="3" s="1"/>
  <c r="I46" i="3"/>
  <c r="F46" i="3" a="1"/>
  <c r="F46" i="3" s="1"/>
  <c r="P45" i="3" a="1"/>
  <c r="P45" i="3" s="1"/>
  <c r="O45" i="3" a="1"/>
  <c r="O45" i="3" s="1"/>
  <c r="R45" i="3" s="1"/>
  <c r="K45" i="3" a="1"/>
  <c r="K45" i="3" s="1"/>
  <c r="J45" i="3" a="1"/>
  <c r="J45" i="3" s="1"/>
  <c r="M45" i="3" s="1"/>
  <c r="I45" i="3"/>
  <c r="F45" i="3" a="1"/>
  <c r="F45" i="3" s="1"/>
  <c r="P44" i="3" a="1"/>
  <c r="P44" i="3" s="1"/>
  <c r="O44" i="3" a="1"/>
  <c r="O44" i="3" s="1"/>
  <c r="R44" i="3" s="1"/>
  <c r="K44" i="3" a="1"/>
  <c r="K44" i="3" s="1"/>
  <c r="J44" i="3" a="1"/>
  <c r="J44" i="3" s="1"/>
  <c r="M44" i="3" s="1"/>
  <c r="I44" i="3"/>
  <c r="F44" i="3" a="1"/>
  <c r="F44" i="3" s="1"/>
  <c r="P43" i="3" a="1"/>
  <c r="P43" i="3" s="1"/>
  <c r="O43" i="3" a="1"/>
  <c r="O43" i="3" s="1"/>
  <c r="R43" i="3" s="1"/>
  <c r="K43" i="3" a="1"/>
  <c r="K43" i="3" s="1"/>
  <c r="J43" i="3" a="1"/>
  <c r="J43" i="3" s="1"/>
  <c r="M43" i="3" s="1"/>
  <c r="I43" i="3"/>
  <c r="F43" i="3" a="1"/>
  <c r="F43" i="3" s="1"/>
  <c r="P42" i="3" a="1"/>
  <c r="P42" i="3" s="1"/>
  <c r="O42" i="3" a="1"/>
  <c r="O42" i="3" s="1"/>
  <c r="R42" i="3" s="1"/>
  <c r="K42" i="3" a="1"/>
  <c r="K42" i="3" s="1"/>
  <c r="J42" i="3" a="1"/>
  <c r="J42" i="3" s="1"/>
  <c r="M42" i="3" s="1"/>
  <c r="I42" i="3"/>
  <c r="F42" i="3" a="1"/>
  <c r="F42" i="3" s="1"/>
  <c r="P41" i="3" a="1"/>
  <c r="P41" i="3" s="1"/>
  <c r="O41" i="3" a="1"/>
  <c r="O41" i="3" s="1"/>
  <c r="R41" i="3" s="1"/>
  <c r="K41" i="3" a="1"/>
  <c r="K41" i="3" s="1"/>
  <c r="J41" i="3" a="1"/>
  <c r="J41" i="3" s="1"/>
  <c r="M41" i="3" s="1"/>
  <c r="I41" i="3"/>
  <c r="F41" i="3" a="1"/>
  <c r="F41" i="3" s="1"/>
  <c r="P40" i="3" a="1"/>
  <c r="P40" i="3" s="1"/>
  <c r="O40" i="3" a="1"/>
  <c r="O40" i="3" s="1"/>
  <c r="R40" i="3" s="1"/>
  <c r="K40" i="3" a="1"/>
  <c r="K40" i="3" s="1"/>
  <c r="J40" i="3" a="1"/>
  <c r="J40" i="3" s="1"/>
  <c r="M40" i="3" s="1"/>
  <c r="I40" i="3"/>
  <c r="F40" i="3" a="1"/>
  <c r="F40" i="3" s="1"/>
  <c r="P39" i="3" a="1"/>
  <c r="P39" i="3" s="1"/>
  <c r="O39" i="3" a="1"/>
  <c r="O39" i="3" s="1"/>
  <c r="R39" i="3" s="1"/>
  <c r="K39" i="3" a="1"/>
  <c r="K39" i="3" s="1"/>
  <c r="J39" i="3" a="1"/>
  <c r="J39" i="3" s="1"/>
  <c r="M39" i="3" s="1"/>
  <c r="I39" i="3"/>
  <c r="F39" i="3" a="1"/>
  <c r="F39" i="3" s="1"/>
  <c r="P38" i="3" a="1"/>
  <c r="P38" i="3" s="1"/>
  <c r="O38" i="3" a="1"/>
  <c r="O38" i="3" s="1"/>
  <c r="R38" i="3" s="1"/>
  <c r="K38" i="3" a="1"/>
  <c r="K38" i="3" s="1"/>
  <c r="J38" i="3" a="1"/>
  <c r="J38" i="3" s="1"/>
  <c r="M38" i="3" s="1"/>
  <c r="I38" i="3"/>
  <c r="F38" i="3" a="1"/>
  <c r="F38" i="3" s="1"/>
  <c r="P37" i="3" a="1"/>
  <c r="P37" i="3" s="1"/>
  <c r="O37" i="3" a="1"/>
  <c r="O37" i="3" s="1"/>
  <c r="R37" i="3" s="1"/>
  <c r="K37" i="3" a="1"/>
  <c r="K37" i="3" s="1"/>
  <c r="J37" i="3" a="1"/>
  <c r="J37" i="3" s="1"/>
  <c r="M37" i="3" s="1"/>
  <c r="I37" i="3"/>
  <c r="F37" i="3" a="1"/>
  <c r="F37" i="3" s="1"/>
  <c r="P36" i="3" a="1"/>
  <c r="P36" i="3" s="1"/>
  <c r="O36" i="3" a="1"/>
  <c r="O36" i="3" s="1"/>
  <c r="R36" i="3" s="1"/>
  <c r="K36" i="3" a="1"/>
  <c r="K36" i="3" s="1"/>
  <c r="J36" i="3" a="1"/>
  <c r="J36" i="3" s="1"/>
  <c r="M36" i="3" s="1"/>
  <c r="I36" i="3"/>
  <c r="F36" i="3" a="1"/>
  <c r="F36" i="3" s="1"/>
  <c r="P35" i="3" a="1"/>
  <c r="P35" i="3" s="1"/>
  <c r="O35" i="3" a="1"/>
  <c r="O35" i="3" s="1"/>
  <c r="R35" i="3" s="1"/>
  <c r="K35" i="3" a="1"/>
  <c r="K35" i="3" s="1"/>
  <c r="J35" i="3" a="1"/>
  <c r="J35" i="3" s="1"/>
  <c r="M35" i="3" s="1"/>
  <c r="I35" i="3"/>
  <c r="F35" i="3" a="1"/>
  <c r="F35" i="3" s="1"/>
  <c r="P34" i="3" a="1"/>
  <c r="P34" i="3"/>
  <c r="O34" i="3" a="1"/>
  <c r="O34" i="3" s="1"/>
  <c r="R34" i="3" s="1"/>
  <c r="K34" i="3" a="1"/>
  <c r="K34" i="3" s="1"/>
  <c r="L34" i="3" s="1"/>
  <c r="N34" i="3" s="1"/>
  <c r="J34" i="3" a="1"/>
  <c r="J34" i="3" s="1"/>
  <c r="M34" i="3" s="1"/>
  <c r="I34" i="3"/>
  <c r="F34" i="3" a="1"/>
  <c r="F34" i="3" s="1"/>
  <c r="P33" i="3" a="1"/>
  <c r="P33" i="3" s="1"/>
  <c r="O33" i="3" a="1"/>
  <c r="O33" i="3" s="1"/>
  <c r="R33" i="3" s="1"/>
  <c r="K33" i="3" a="1"/>
  <c r="K33" i="3" s="1"/>
  <c r="J33" i="3" a="1"/>
  <c r="J33" i="3" s="1"/>
  <c r="M33" i="3" s="1"/>
  <c r="I33" i="3"/>
  <c r="F33" i="3" a="1"/>
  <c r="F33" i="3" s="1"/>
  <c r="P32" i="3" a="1"/>
  <c r="P32" i="3" s="1"/>
  <c r="O32" i="3" a="1"/>
  <c r="O32" i="3" s="1"/>
  <c r="R32" i="3" s="1"/>
  <c r="K32" i="3" a="1"/>
  <c r="K32" i="3" s="1"/>
  <c r="J32" i="3" a="1"/>
  <c r="J32" i="3" s="1"/>
  <c r="M32" i="3" s="1"/>
  <c r="I32" i="3"/>
  <c r="F32" i="3" a="1"/>
  <c r="F32" i="3" s="1"/>
  <c r="P31" i="3" a="1"/>
  <c r="P31" i="3" s="1"/>
  <c r="O31" i="3" a="1"/>
  <c r="O31" i="3" s="1"/>
  <c r="R31" i="3" s="1"/>
  <c r="K31" i="3" a="1"/>
  <c r="K31" i="3" s="1"/>
  <c r="J31" i="3" a="1"/>
  <c r="J31" i="3" s="1"/>
  <c r="M31" i="3" s="1"/>
  <c r="I31" i="3"/>
  <c r="F31" i="3" a="1"/>
  <c r="F31" i="3" s="1"/>
  <c r="P30" i="3" a="1"/>
  <c r="P30" i="3" s="1"/>
  <c r="O30" i="3" a="1"/>
  <c r="O30" i="3" s="1"/>
  <c r="R30" i="3" s="1"/>
  <c r="K30" i="3" a="1"/>
  <c r="K30" i="3" s="1"/>
  <c r="J30" i="3" a="1"/>
  <c r="J30" i="3" s="1"/>
  <c r="M30" i="3" s="1"/>
  <c r="I30" i="3"/>
  <c r="F30" i="3" a="1"/>
  <c r="F30" i="3" s="1"/>
  <c r="P29" i="3" a="1"/>
  <c r="P29" i="3" s="1"/>
  <c r="O29" i="3" a="1"/>
  <c r="O29" i="3" s="1"/>
  <c r="R29" i="3" s="1"/>
  <c r="K29" i="3" a="1"/>
  <c r="K29" i="3" s="1"/>
  <c r="J29" i="3" a="1"/>
  <c r="J29" i="3" s="1"/>
  <c r="M29" i="3" s="1"/>
  <c r="I29" i="3"/>
  <c r="F29" i="3" a="1"/>
  <c r="F29" i="3" s="1"/>
  <c r="P28" i="3" a="1"/>
  <c r="P28" i="3" s="1"/>
  <c r="O28" i="3" a="1"/>
  <c r="O28" i="3" s="1"/>
  <c r="R28" i="3" s="1"/>
  <c r="K28" i="3" a="1"/>
  <c r="K28" i="3" s="1"/>
  <c r="J28" i="3" a="1"/>
  <c r="J28" i="3" s="1"/>
  <c r="M28" i="3" s="1"/>
  <c r="I28" i="3"/>
  <c r="F28" i="3" a="1"/>
  <c r="F28" i="3" s="1"/>
  <c r="P27" i="3" a="1"/>
  <c r="P27" i="3" s="1"/>
  <c r="O27" i="3" a="1"/>
  <c r="O27" i="3" s="1"/>
  <c r="R27" i="3" s="1"/>
  <c r="K27" i="3" a="1"/>
  <c r="K27" i="3" s="1"/>
  <c r="J27" i="3" a="1"/>
  <c r="J27" i="3" s="1"/>
  <c r="M27" i="3" s="1"/>
  <c r="I27" i="3"/>
  <c r="F27" i="3" a="1"/>
  <c r="F27" i="3" s="1"/>
  <c r="P26" i="3" a="1"/>
  <c r="P26" i="3" s="1"/>
  <c r="O26" i="3" a="1"/>
  <c r="O26" i="3" s="1"/>
  <c r="R26" i="3" s="1"/>
  <c r="K26" i="3" a="1"/>
  <c r="K26" i="3" s="1"/>
  <c r="J26" i="3" a="1"/>
  <c r="J26" i="3" s="1"/>
  <c r="M26" i="3" s="1"/>
  <c r="I26" i="3"/>
  <c r="F26" i="3" a="1"/>
  <c r="F26" i="3" s="1"/>
  <c r="P25" i="3" a="1"/>
  <c r="P25" i="3" s="1"/>
  <c r="O25" i="3" a="1"/>
  <c r="O25" i="3" s="1"/>
  <c r="R25" i="3" s="1"/>
  <c r="K25" i="3" a="1"/>
  <c r="K25" i="3" s="1"/>
  <c r="J25" i="3" a="1"/>
  <c r="J25" i="3" s="1"/>
  <c r="M25" i="3" s="1"/>
  <c r="I25" i="3"/>
  <c r="F25" i="3" a="1"/>
  <c r="F25" i="3" s="1"/>
  <c r="P24" i="3" a="1"/>
  <c r="P24" i="3" s="1"/>
  <c r="O24" i="3" a="1"/>
  <c r="O24" i="3" s="1"/>
  <c r="R24" i="3" s="1"/>
  <c r="K24" i="3" a="1"/>
  <c r="K24" i="3" s="1"/>
  <c r="J24" i="3" a="1"/>
  <c r="J24" i="3" s="1"/>
  <c r="M24" i="3" s="1"/>
  <c r="I24" i="3"/>
  <c r="F24" i="3" a="1"/>
  <c r="F24" i="3" s="1"/>
  <c r="P23" i="3" a="1"/>
  <c r="P23" i="3" s="1"/>
  <c r="O23" i="3" a="1"/>
  <c r="O23" i="3" s="1"/>
  <c r="R23" i="3" s="1"/>
  <c r="K23" i="3" a="1"/>
  <c r="K23" i="3" s="1"/>
  <c r="J23" i="3" a="1"/>
  <c r="J23" i="3" s="1"/>
  <c r="M23" i="3" s="1"/>
  <c r="I23" i="3"/>
  <c r="F23" i="3" a="1"/>
  <c r="F23" i="3" s="1"/>
  <c r="P22" i="3" a="1"/>
  <c r="P22" i="3" s="1"/>
  <c r="O22" i="3" a="1"/>
  <c r="O22" i="3" s="1"/>
  <c r="R22" i="3" s="1"/>
  <c r="K22" i="3" a="1"/>
  <c r="K22" i="3" s="1"/>
  <c r="J22" i="3" a="1"/>
  <c r="J22" i="3" s="1"/>
  <c r="M22" i="3" s="1"/>
  <c r="I22" i="3"/>
  <c r="F22" i="3" a="1"/>
  <c r="F22" i="3" s="1"/>
  <c r="P21" i="3" a="1"/>
  <c r="P21" i="3" s="1"/>
  <c r="O21" i="3" a="1"/>
  <c r="O21" i="3" s="1"/>
  <c r="R21" i="3" s="1"/>
  <c r="K21" i="3" a="1"/>
  <c r="K21" i="3" s="1"/>
  <c r="J21" i="3" a="1"/>
  <c r="J21" i="3" s="1"/>
  <c r="M21" i="3" s="1"/>
  <c r="I21" i="3"/>
  <c r="F21" i="3" a="1"/>
  <c r="F21" i="3" s="1"/>
  <c r="P20" i="3" a="1"/>
  <c r="P20" i="3" s="1"/>
  <c r="O20" i="3" a="1"/>
  <c r="O20" i="3" s="1"/>
  <c r="R20" i="3" s="1"/>
  <c r="K20" i="3" a="1"/>
  <c r="K20" i="3" s="1"/>
  <c r="J20" i="3" a="1"/>
  <c r="J20" i="3" s="1"/>
  <c r="M20" i="3" s="1"/>
  <c r="I20" i="3"/>
  <c r="F20" i="3" a="1"/>
  <c r="F20" i="3" s="1"/>
  <c r="P19" i="3" a="1"/>
  <c r="P19" i="3" s="1"/>
  <c r="O19" i="3" a="1"/>
  <c r="O19" i="3" s="1"/>
  <c r="R19" i="3" s="1"/>
  <c r="K19" i="3" a="1"/>
  <c r="K19" i="3" s="1"/>
  <c r="J19" i="3" a="1"/>
  <c r="J19" i="3" s="1"/>
  <c r="M19" i="3" s="1"/>
  <c r="I19" i="3"/>
  <c r="F19" i="3" a="1"/>
  <c r="F19" i="3" s="1"/>
  <c r="P18" i="3" a="1"/>
  <c r="P18" i="3" s="1"/>
  <c r="O18" i="3" a="1"/>
  <c r="O18" i="3" s="1"/>
  <c r="R18" i="3" s="1"/>
  <c r="K18" i="3" a="1"/>
  <c r="K18" i="3" s="1"/>
  <c r="J18" i="3" a="1"/>
  <c r="J18" i="3"/>
  <c r="M18" i="3" s="1"/>
  <c r="I18" i="3"/>
  <c r="F18" i="3" a="1"/>
  <c r="F18" i="3" s="1"/>
  <c r="P17" i="3" a="1"/>
  <c r="P17" i="3" s="1"/>
  <c r="O17" i="3" a="1"/>
  <c r="O17" i="3" s="1"/>
  <c r="R17" i="3" s="1"/>
  <c r="K17" i="3" a="1"/>
  <c r="K17" i="3" s="1"/>
  <c r="J17" i="3" a="1"/>
  <c r="J17" i="3" s="1"/>
  <c r="M17" i="3" s="1"/>
  <c r="I17" i="3"/>
  <c r="F17" i="3" a="1"/>
  <c r="F17" i="3" s="1"/>
  <c r="P16" i="3" a="1"/>
  <c r="P16" i="3" s="1"/>
  <c r="O16" i="3" a="1"/>
  <c r="O16" i="3" s="1"/>
  <c r="R16" i="3" s="1"/>
  <c r="K16" i="3" a="1"/>
  <c r="K16" i="3" s="1"/>
  <c r="J16" i="3" a="1"/>
  <c r="J16" i="3" s="1"/>
  <c r="M16" i="3" s="1"/>
  <c r="I16" i="3"/>
  <c r="F16" i="3" a="1"/>
  <c r="F16" i="3" s="1"/>
  <c r="P15" i="3" a="1"/>
  <c r="P15" i="3"/>
  <c r="O15" i="3" a="1"/>
  <c r="O15" i="3" s="1"/>
  <c r="R15" i="3" s="1"/>
  <c r="K15" i="3" a="1"/>
  <c r="K15" i="3" s="1"/>
  <c r="J15" i="3" a="1"/>
  <c r="J15" i="3" s="1"/>
  <c r="M15" i="3" s="1"/>
  <c r="I15" i="3"/>
  <c r="F15" i="3" a="1"/>
  <c r="F15" i="3" s="1"/>
  <c r="P14" i="3" a="1"/>
  <c r="P14" i="3" s="1"/>
  <c r="O14" i="3" a="1"/>
  <c r="O14" i="3" s="1"/>
  <c r="R14" i="3" s="1"/>
  <c r="K14" i="3" a="1"/>
  <c r="K14" i="3" s="1"/>
  <c r="L14" i="3" s="1"/>
  <c r="J14" i="3" a="1"/>
  <c r="J14" i="3" s="1"/>
  <c r="M14" i="3" s="1"/>
  <c r="I14" i="3"/>
  <c r="F14" i="3" a="1"/>
  <c r="F14" i="3" s="1"/>
  <c r="P13" i="3" a="1"/>
  <c r="P13" i="3" s="1"/>
  <c r="O13" i="3" a="1"/>
  <c r="O13" i="3" s="1"/>
  <c r="R13" i="3" s="1"/>
  <c r="K13" i="3" a="1"/>
  <c r="K13" i="3" s="1"/>
  <c r="J13" i="3" a="1"/>
  <c r="J13" i="3" s="1"/>
  <c r="M13" i="3" s="1"/>
  <c r="I13" i="3"/>
  <c r="F13" i="3" a="1"/>
  <c r="F13" i="3"/>
  <c r="P12" i="3" a="1"/>
  <c r="P12" i="3" s="1"/>
  <c r="O12" i="3" a="1"/>
  <c r="O12" i="3" s="1"/>
  <c r="R12" i="3" s="1"/>
  <c r="K12" i="3" a="1"/>
  <c r="K12" i="3" s="1"/>
  <c r="J12" i="3" a="1"/>
  <c r="J12" i="3" s="1"/>
  <c r="M12" i="3" s="1"/>
  <c r="I12" i="3"/>
  <c r="F12" i="3" a="1"/>
  <c r="F12" i="3" s="1"/>
  <c r="P11" i="3" a="1"/>
  <c r="P11" i="3" s="1"/>
  <c r="O11" i="3" a="1"/>
  <c r="O11" i="3" s="1"/>
  <c r="R11" i="3" s="1"/>
  <c r="K11" i="3" a="1"/>
  <c r="K11" i="3" s="1"/>
  <c r="J11" i="3" a="1"/>
  <c r="J11" i="3" s="1"/>
  <c r="M11" i="3" s="1"/>
  <c r="I11" i="3"/>
  <c r="F11" i="3" a="1"/>
  <c r="F11" i="3" s="1"/>
  <c r="P10" i="3" a="1"/>
  <c r="P10" i="3" s="1"/>
  <c r="O10" i="3" a="1"/>
  <c r="O10" i="3" s="1"/>
  <c r="R10" i="3" s="1"/>
  <c r="K10" i="3" a="1"/>
  <c r="K10" i="3" s="1"/>
  <c r="J10" i="3" a="1"/>
  <c r="J10" i="3" s="1"/>
  <c r="M10" i="3" s="1"/>
  <c r="I10" i="3"/>
  <c r="F10" i="3" a="1"/>
  <c r="F10" i="3" s="1"/>
  <c r="P9" i="3" a="1"/>
  <c r="P9" i="3" s="1"/>
  <c r="O9" i="3" a="1"/>
  <c r="O9" i="3" s="1"/>
  <c r="R9" i="3" s="1"/>
  <c r="K9" i="3" a="1"/>
  <c r="K9" i="3" s="1"/>
  <c r="J9" i="3" a="1"/>
  <c r="J9" i="3" s="1"/>
  <c r="M9" i="3" s="1"/>
  <c r="I9" i="3"/>
  <c r="F9" i="3" a="1"/>
  <c r="F9" i="3" s="1"/>
  <c r="P8" i="3" a="1"/>
  <c r="P8" i="3" s="1"/>
  <c r="O8" i="3" a="1"/>
  <c r="O8" i="3" s="1"/>
  <c r="R8" i="3" s="1"/>
  <c r="K8" i="3" a="1"/>
  <c r="K8" i="3" s="1"/>
  <c r="J8" i="3" a="1"/>
  <c r="J8" i="3" s="1"/>
  <c r="M8" i="3" s="1"/>
  <c r="I8" i="3"/>
  <c r="F8" i="3" a="1"/>
  <c r="F8" i="3" s="1"/>
  <c r="P7" i="3" a="1"/>
  <c r="P7" i="3" s="1"/>
  <c r="O7" i="3" a="1"/>
  <c r="O7" i="3" s="1"/>
  <c r="R7" i="3" s="1"/>
  <c r="K7" i="3" a="1"/>
  <c r="K7" i="3" s="1"/>
  <c r="J7" i="3" a="1"/>
  <c r="J7" i="3" s="1"/>
  <c r="M7" i="3" s="1"/>
  <c r="I7" i="3"/>
  <c r="F7" i="3" a="1"/>
  <c r="F7" i="3" s="1"/>
  <c r="P6" i="3" a="1"/>
  <c r="P6" i="3" s="1"/>
  <c r="O6" i="3" a="1"/>
  <c r="O6" i="3" s="1"/>
  <c r="R6" i="3" s="1"/>
  <c r="K6" i="3" a="1"/>
  <c r="K6" i="3" s="1"/>
  <c r="J6" i="3" a="1"/>
  <c r="J6" i="3" s="1"/>
  <c r="M6" i="3" s="1"/>
  <c r="I6" i="3"/>
  <c r="F6" i="3" a="1"/>
  <c r="F6" i="3" s="1"/>
  <c r="P5" i="3" a="1"/>
  <c r="P5" i="3" s="1"/>
  <c r="O5" i="3" a="1"/>
  <c r="O5" i="3" s="1"/>
  <c r="R5" i="3" s="1"/>
  <c r="K5" i="3" a="1"/>
  <c r="K5" i="3" s="1"/>
  <c r="J5" i="3" a="1"/>
  <c r="J5" i="3" s="1"/>
  <c r="M5" i="3" s="1"/>
  <c r="I5" i="3"/>
  <c r="F5" i="3" a="1"/>
  <c r="F5" i="3" s="1"/>
  <c r="P4" i="3" a="1"/>
  <c r="P4" i="3"/>
  <c r="O4" i="3" a="1"/>
  <c r="O4" i="3" s="1"/>
  <c r="R4" i="3" s="1"/>
  <c r="K4" i="3" a="1"/>
  <c r="K4" i="3" s="1"/>
  <c r="J4" i="3" a="1"/>
  <c r="J4" i="3" s="1"/>
  <c r="M4" i="3" s="1"/>
  <c r="I4" i="3"/>
  <c r="F4" i="3" a="1"/>
  <c r="F4" i="3" s="1"/>
  <c r="P3" i="3" a="1"/>
  <c r="P3" i="3" s="1"/>
  <c r="O3" i="3" a="1"/>
  <c r="O3" i="3" s="1"/>
  <c r="R3" i="3" s="1"/>
  <c r="K3" i="3" a="1"/>
  <c r="K3" i="3" s="1"/>
  <c r="J3" i="3" a="1"/>
  <c r="J3" i="3" s="1"/>
  <c r="M3" i="3" s="1"/>
  <c r="I3" i="3"/>
  <c r="F3" i="3" a="1"/>
  <c r="F3" i="3" s="1"/>
  <c r="P2" i="3" a="1"/>
  <c r="P2" i="3" s="1"/>
  <c r="O2" i="3" a="1"/>
  <c r="O2" i="3" s="1"/>
  <c r="R2" i="3" s="1"/>
  <c r="K2" i="3" a="1"/>
  <c r="K2" i="3" s="1"/>
  <c r="J2" i="3" a="1"/>
  <c r="J2" i="3" s="1"/>
  <c r="M2" i="3" s="1"/>
  <c r="I2" i="3"/>
  <c r="F2" i="3" a="1"/>
  <c r="F2" i="3" s="1"/>
  <c r="L27" i="3" l="1"/>
  <c r="N27" i="3" s="1"/>
  <c r="Q37" i="3"/>
  <c r="S37" i="3" s="1"/>
  <c r="Q41" i="3"/>
  <c r="S41" i="3" s="1"/>
  <c r="Q45" i="3"/>
  <c r="S45" i="3" s="1"/>
  <c r="L43" i="3"/>
  <c r="N43" i="3" s="1"/>
  <c r="L61" i="3"/>
  <c r="N61" i="3" s="1"/>
  <c r="L25" i="3"/>
  <c r="N25" i="3" s="1"/>
  <c r="L38" i="3"/>
  <c r="N38" i="3" s="1"/>
  <c r="L42" i="3"/>
  <c r="N42" i="3" s="1"/>
  <c r="L51" i="3"/>
  <c r="N51" i="3" s="1"/>
  <c r="N14" i="3"/>
  <c r="Q21" i="3"/>
  <c r="S21" i="3" s="1"/>
  <c r="Q13" i="3"/>
  <c r="S13" i="3" s="1"/>
  <c r="Q25" i="3"/>
  <c r="S25" i="3" s="1"/>
  <c r="L37" i="3"/>
  <c r="N37" i="3" s="1"/>
  <c r="Q38" i="3"/>
  <c r="S38" i="3" s="1"/>
  <c r="L41" i="3"/>
  <c r="N41" i="3" s="1"/>
  <c r="Q46" i="3"/>
  <c r="S46" i="3" s="1"/>
  <c r="L55" i="3"/>
  <c r="N55" i="3" s="1"/>
  <c r="L54" i="3"/>
  <c r="N54" i="3" s="1"/>
  <c r="L59" i="3"/>
  <c r="N59" i="3" s="1"/>
  <c r="Q49" i="3"/>
  <c r="S49" i="3" s="1"/>
  <c r="L10" i="3"/>
  <c r="N10" i="3" s="1"/>
  <c r="Q3" i="3"/>
  <c r="S3" i="3" s="1"/>
  <c r="L65" i="3"/>
  <c r="N65" i="3" s="1"/>
  <c r="L2" i="3"/>
  <c r="N2" i="3" s="1"/>
  <c r="L30" i="3"/>
  <c r="N30" i="3" s="1"/>
  <c r="L48" i="3"/>
  <c r="N48" i="3" s="1"/>
  <c r="Q10" i="3"/>
  <c r="S10" i="3" s="1"/>
  <c r="L21" i="3"/>
  <c r="N21" i="3" s="1"/>
  <c r="L22" i="3"/>
  <c r="N22" i="3" s="1"/>
  <c r="L29" i="3"/>
  <c r="N29" i="3" s="1"/>
  <c r="L19" i="3"/>
  <c r="N19" i="3" s="1"/>
  <c r="L20" i="3"/>
  <c r="N20" i="3" s="1"/>
  <c r="L26" i="3"/>
  <c r="N26" i="3" s="1"/>
  <c r="L31" i="3"/>
  <c r="N31" i="3" s="1"/>
  <c r="L45" i="3"/>
  <c r="N45" i="3" s="1"/>
  <c r="L6" i="3"/>
  <c r="N6" i="3" s="1"/>
  <c r="Q7" i="3"/>
  <c r="S7" i="3" s="1"/>
  <c r="Q29" i="3"/>
  <c r="S29" i="3" s="1"/>
  <c r="Q58" i="3"/>
  <c r="S58" i="3" s="1"/>
  <c r="L64" i="3"/>
  <c r="N64" i="3" s="1"/>
  <c r="Q18" i="3"/>
  <c r="S18" i="3" s="1"/>
  <c r="Q26" i="3"/>
  <c r="S26" i="3" s="1"/>
  <c r="L46" i="3"/>
  <c r="N46" i="3" s="1"/>
  <c r="L57" i="3"/>
  <c r="N57" i="3" s="1"/>
  <c r="L24" i="3"/>
  <c r="N24" i="3" s="1"/>
  <c r="L69" i="3"/>
  <c r="N69" i="3" s="1"/>
  <c r="L70" i="3"/>
  <c r="N70" i="3" s="1"/>
  <c r="L23" i="3"/>
  <c r="N23" i="3" s="1"/>
  <c r="L33" i="3"/>
  <c r="N33" i="3" s="1"/>
  <c r="L36" i="3"/>
  <c r="N36" i="3" s="1"/>
  <c r="L40" i="3"/>
  <c r="N40" i="3" s="1"/>
  <c r="L60" i="3"/>
  <c r="N60" i="3" s="1"/>
  <c r="L5" i="3"/>
  <c r="N5" i="3" s="1"/>
  <c r="Q11" i="3"/>
  <c r="S11" i="3" s="1"/>
  <c r="Q22" i="3"/>
  <c r="S22" i="3" s="1"/>
  <c r="L32" i="3"/>
  <c r="N32" i="3" s="1"/>
  <c r="Q32" i="3"/>
  <c r="S32" i="3" s="1"/>
  <c r="L52" i="3"/>
  <c r="N52" i="3" s="1"/>
  <c r="Q53" i="3"/>
  <c r="S53" i="3" s="1"/>
  <c r="Q54" i="3"/>
  <c r="S54" i="3" s="1"/>
  <c r="L13" i="3"/>
  <c r="N13" i="3" s="1"/>
  <c r="L8" i="3"/>
  <c r="N8" i="3" s="1"/>
  <c r="L18" i="3"/>
  <c r="N18" i="3" s="1"/>
  <c r="L49" i="3"/>
  <c r="N49" i="3" s="1"/>
  <c r="Q55" i="3"/>
  <c r="S55" i="3" s="1"/>
  <c r="Q62" i="3"/>
  <c r="S62" i="3" s="1"/>
  <c r="L68" i="3"/>
  <c r="N68" i="3" s="1"/>
  <c r="L15" i="3"/>
  <c r="N15" i="3" s="1"/>
  <c r="L9" i="3"/>
  <c r="N9" i="3" s="1"/>
  <c r="L4" i="3"/>
  <c r="N4" i="3" s="1"/>
  <c r="Q17" i="3"/>
  <c r="S17" i="3" s="1"/>
  <c r="Q23" i="3"/>
  <c r="S23" i="3" s="1"/>
  <c r="Q33" i="3"/>
  <c r="S33" i="3" s="1"/>
  <c r="Q42" i="3"/>
  <c r="S42" i="3" s="1"/>
  <c r="L53" i="3"/>
  <c r="N53" i="3" s="1"/>
  <c r="Q30" i="3"/>
  <c r="S30" i="3" s="1"/>
  <c r="L56" i="3"/>
  <c r="N56" i="3" s="1"/>
  <c r="Q56" i="3"/>
  <c r="S56" i="3" s="1"/>
  <c r="Q9" i="3"/>
  <c r="S9" i="3" s="1"/>
  <c r="Q19" i="3"/>
  <c r="S19" i="3" s="1"/>
  <c r="Q50" i="3"/>
  <c r="S50" i="3" s="1"/>
  <c r="Q69" i="3"/>
  <c r="S69" i="3" s="1"/>
  <c r="Q14" i="3"/>
  <c r="S14" i="3" s="1"/>
  <c r="Q59" i="3"/>
  <c r="S59" i="3" s="1"/>
  <c r="Q2" i="3"/>
  <c r="S2" i="3" s="1"/>
  <c r="Q6" i="3"/>
  <c r="S6" i="3" s="1"/>
  <c r="L17" i="3"/>
  <c r="N17" i="3" s="1"/>
  <c r="L28" i="3"/>
  <c r="N28" i="3" s="1"/>
  <c r="L44" i="3"/>
  <c r="N44" i="3" s="1"/>
  <c r="Q66" i="3"/>
  <c r="S66" i="3" s="1"/>
  <c r="Q70" i="3"/>
  <c r="S70" i="3" s="1"/>
  <c r="Q12" i="3"/>
  <c r="S12" i="3" s="1"/>
  <c r="Q16" i="3"/>
  <c r="S16" i="3" s="1"/>
  <c r="Q4" i="3"/>
  <c r="S4" i="3" s="1"/>
  <c r="Q8" i="3"/>
  <c r="S8" i="3" s="1"/>
  <c r="Q5" i="3"/>
  <c r="S5" i="3" s="1"/>
  <c r="L3" i="3"/>
  <c r="N3" i="3" s="1"/>
  <c r="L7" i="3"/>
  <c r="N7" i="3" s="1"/>
  <c r="L11" i="3"/>
  <c r="N11" i="3" s="1"/>
  <c r="L12" i="3"/>
  <c r="N12" i="3" s="1"/>
  <c r="L16" i="3"/>
  <c r="N16" i="3" s="1"/>
  <c r="Q68" i="3"/>
  <c r="S68" i="3" s="1"/>
  <c r="Q34" i="3"/>
  <c r="S34" i="3" s="1"/>
  <c r="L35" i="3"/>
  <c r="N35" i="3" s="1"/>
  <c r="L39" i="3"/>
  <c r="N39" i="3" s="1"/>
  <c r="Q64" i="3"/>
  <c r="S64" i="3" s="1"/>
  <c r="Q15" i="3"/>
  <c r="S15" i="3" s="1"/>
  <c r="Q28" i="3"/>
  <c r="S28" i="3" s="1"/>
  <c r="Q31" i="3"/>
  <c r="S31" i="3" s="1"/>
  <c r="Q51" i="3"/>
  <c r="S51" i="3" s="1"/>
  <c r="L66" i="3"/>
  <c r="N66" i="3" s="1"/>
  <c r="Q44" i="3"/>
  <c r="S44" i="3" s="1"/>
  <c r="Q36" i="3"/>
  <c r="S36" i="3" s="1"/>
  <c r="Q40" i="3"/>
  <c r="S40" i="3" s="1"/>
  <c r="L47" i="3"/>
  <c r="N47" i="3" s="1"/>
  <c r="Q48" i="3"/>
  <c r="S48" i="3" s="1"/>
  <c r="Q60" i="3"/>
  <c r="S60" i="3" s="1"/>
  <c r="L62" i="3"/>
  <c r="N62" i="3" s="1"/>
  <c r="Q65" i="3"/>
  <c r="S65" i="3" s="1"/>
  <c r="L67" i="3"/>
  <c r="N67" i="3" s="1"/>
  <c r="Q24" i="3"/>
  <c r="S24" i="3" s="1"/>
  <c r="Q27" i="3"/>
  <c r="S27" i="3" s="1"/>
  <c r="Q43" i="3"/>
  <c r="S43" i="3" s="1"/>
  <c r="L50" i="3"/>
  <c r="N50" i="3" s="1"/>
  <c r="L58" i="3"/>
  <c r="N58" i="3" s="1"/>
  <c r="Q61" i="3"/>
  <c r="S61" i="3" s="1"/>
  <c r="L63" i="3"/>
  <c r="N63" i="3" s="1"/>
  <c r="L71" i="3"/>
  <c r="N71" i="3" s="1"/>
  <c r="Q20" i="3"/>
  <c r="S20" i="3" s="1"/>
  <c r="Q35" i="3"/>
  <c r="S35" i="3" s="1"/>
  <c r="Q39" i="3"/>
  <c r="S39" i="3" s="1"/>
  <c r="Q52" i="3"/>
  <c r="S52" i="3" s="1"/>
  <c r="Q57" i="3"/>
  <c r="S57" i="3" s="1"/>
  <c r="Q67" i="3"/>
  <c r="S67" i="3" s="1"/>
  <c r="Q47" i="3"/>
  <c r="S47" i="3" s="1"/>
  <c r="Q63" i="3"/>
  <c r="S63" i="3" s="1"/>
  <c r="Q71" i="3"/>
  <c r="S71" i="3" s="1"/>
</calcChain>
</file>

<file path=xl/sharedStrings.xml><?xml version="1.0" encoding="utf-8"?>
<sst xmlns="http://schemas.openxmlformats.org/spreadsheetml/2006/main" count="2210" uniqueCount="302">
  <si>
    <t>Image Name</t>
  </si>
  <si>
    <t>Sample Name</t>
  </si>
  <si>
    <t>Material</t>
  </si>
  <si>
    <t>Surface Condition</t>
  </si>
  <si>
    <t>Machine</t>
  </si>
  <si>
    <t>Track No.</t>
  </si>
  <si>
    <t>Scan Direction</t>
  </si>
  <si>
    <r>
      <t>Est. Spot Diameter (D4</t>
    </r>
    <r>
      <rPr>
        <sz val="11"/>
        <color theme="1"/>
        <rFont val="Calibri"/>
        <family val="2"/>
      </rPr>
      <t>σ</t>
    </r>
    <r>
      <rPr>
        <sz val="11"/>
        <color theme="1"/>
        <rFont val="Calibri"/>
        <family val="2"/>
        <scheme val="minor"/>
      </rPr>
      <t xml:space="preserve"> = Dg)</t>
    </r>
  </si>
  <si>
    <t>Laser Power (W)</t>
  </si>
  <si>
    <t>Laser Scan Speed (mm/s)</t>
  </si>
  <si>
    <t>Width (µm)</t>
  </si>
  <si>
    <r>
      <t>Depth (</t>
    </r>
    <r>
      <rPr>
        <sz val="11"/>
        <color theme="1"/>
        <rFont val="Calibri"/>
        <family val="2"/>
      </rPr>
      <t>µm)</t>
    </r>
  </si>
  <si>
    <t>03-23-2021 IN718 Bare Plate</t>
  </si>
  <si>
    <t>IN718</t>
  </si>
  <si>
    <t xml:space="preserve">320 grit </t>
  </si>
  <si>
    <t>EOS M290</t>
  </si>
  <si>
    <t>X</t>
  </si>
  <si>
    <t>2021-07-13-AMB_X</t>
  </si>
  <si>
    <t>AMMT</t>
  </si>
  <si>
    <t>2021-07-13-AMB_Y</t>
  </si>
  <si>
    <t>B1</t>
  </si>
  <si>
    <t>+Y</t>
  </si>
  <si>
    <t>B2</t>
  </si>
  <si>
    <t>B5</t>
  </si>
  <si>
    <t>B6</t>
  </si>
  <si>
    <t>B9</t>
  </si>
  <si>
    <t>B10</t>
  </si>
  <si>
    <t>M1</t>
  </si>
  <si>
    <t>M2</t>
  </si>
  <si>
    <t>M5</t>
  </si>
  <si>
    <t>M6</t>
  </si>
  <si>
    <t>M9</t>
  </si>
  <si>
    <t>M10</t>
  </si>
  <si>
    <t>T1</t>
  </si>
  <si>
    <t>T2</t>
  </si>
  <si>
    <t>T5</t>
  </si>
  <si>
    <t>T6</t>
  </si>
  <si>
    <t>T9</t>
  </si>
  <si>
    <t>T10</t>
  </si>
  <si>
    <t>N/A</t>
  </si>
  <si>
    <t>Sample A</t>
  </si>
  <si>
    <t>Sample B</t>
  </si>
  <si>
    <t>20180828_Plate3</t>
  </si>
  <si>
    <t>20180905_Plate4</t>
  </si>
  <si>
    <t>Mill</t>
  </si>
  <si>
    <t>20180910_Plate8</t>
  </si>
  <si>
    <t>20180910_Plate9</t>
  </si>
  <si>
    <t>20180910_Plate10</t>
  </si>
  <si>
    <t>IN625</t>
  </si>
  <si>
    <t>Snap-121</t>
  </si>
  <si>
    <t>Snap-122</t>
  </si>
  <si>
    <t>Snap-123</t>
  </si>
  <si>
    <t>Snap-124</t>
  </si>
  <si>
    <t>Snap-125</t>
  </si>
  <si>
    <t>Snap-126</t>
  </si>
  <si>
    <t>Snap-127</t>
  </si>
  <si>
    <t>Snap-128</t>
  </si>
  <si>
    <t>Snap-129</t>
  </si>
  <si>
    <t>2021-07-13_AMB_X_01_scalebar</t>
  </si>
  <si>
    <t>Image file format</t>
  </si>
  <si>
    <t>.tiff</t>
  </si>
  <si>
    <t>2021-07-13_AMB_X_02_scalebar</t>
  </si>
  <si>
    <t>2021-07-13_AMB_X_03_scalebar</t>
  </si>
  <si>
    <t>2021-07-13_AMB_X_04_scalebar</t>
  </si>
  <si>
    <t>2021-07-13_AMB_X_05_scalebar</t>
  </si>
  <si>
    <t>2021-07-13_AMB_X_06_scalebar</t>
  </si>
  <si>
    <t>2021-07-13_AMB_X_07_scalebar</t>
  </si>
  <si>
    <t>2021-07-13_AMB_X_08_scalebar</t>
  </si>
  <si>
    <t>2021-07-13_AMB_X_09_scalebar</t>
  </si>
  <si>
    <t>2021-07-13_AMB_X_10_scalebar</t>
  </si>
  <si>
    <t>2021-07-13_AMB_X_11_scalebar</t>
  </si>
  <si>
    <t>2021-07-13_AMB_X_12_scalebar</t>
  </si>
  <si>
    <t>2021-07-13_AMB_X_13_scalebar</t>
  </si>
  <si>
    <t>2021-07-13_AMB_X_14_scalebar</t>
  </si>
  <si>
    <t>2021-07-13_AMB_X_15_scalebar</t>
  </si>
  <si>
    <t>2021-07-13_AMB_X_16_scalebar</t>
  </si>
  <si>
    <t>2021-07-13_AMB_X_17_scalebar</t>
  </si>
  <si>
    <t>2021-07-13_AMB_X_18_scalebar</t>
  </si>
  <si>
    <t>2021-07-13_AMB_Y_MB_01_scalebar</t>
  </si>
  <si>
    <t>2021-07-13_AMB_Y_MB_02_scalebar</t>
  </si>
  <si>
    <t>2021-07-13_AMB_Y_MB_05_scalebar</t>
  </si>
  <si>
    <t>2021-07-13_AMB_Y_MB_06_scalebar</t>
  </si>
  <si>
    <t>2021-07-13_AMB_Y_MB_09_scalebar</t>
  </si>
  <si>
    <t>2021-07-13_AMB_Y_MB_10_scalebar</t>
  </si>
  <si>
    <t>2021-07-13_AMB_Y_T_09_scalebar</t>
  </si>
  <si>
    <t>2021-07-13_AMB_Y_T_01_scalebar</t>
  </si>
  <si>
    <t>2021-07-13_AMB_Y_T_02_scalebar</t>
  </si>
  <si>
    <t>2021-07-13_AMB_Y_T_05_scalebar</t>
  </si>
  <si>
    <t>2021-07-13_AMB_Y_T_06_scalebar</t>
  </si>
  <si>
    <t>2021-07-13_AMB_Y_T_10_scalebar</t>
  </si>
  <si>
    <t>SpotSize_A_00-Image Export-68</t>
  </si>
  <si>
    <t>SpotSize_A_01-Image Export-67</t>
  </si>
  <si>
    <t>SpotSize_A_02-Image Export-66</t>
  </si>
  <si>
    <t>SpotSize_A_03-Image Export-65</t>
  </si>
  <si>
    <t>SpotSize_A_04-Image Export-64</t>
  </si>
  <si>
    <t>SpotSize_A_05-Image Export-63</t>
  </si>
  <si>
    <t>SpotSize_A_06-Image Export-62</t>
  </si>
  <si>
    <t>SpotSize_A_07-Image Export-61</t>
  </si>
  <si>
    <t>SpotSize_A_08-Image Export-60</t>
  </si>
  <si>
    <t>SpotSize_A_09-Image Export-59</t>
  </si>
  <si>
    <t>SpotSize_A_10-Image Export-58</t>
  </si>
  <si>
    <t>SpotSize_A_11-Image Export-57</t>
  </si>
  <si>
    <t>SpotSize_A_12-Image Export-56</t>
  </si>
  <si>
    <t>SpotSize_A_13-Image Export-55</t>
  </si>
  <si>
    <t>SpotSize_A_14-Image Export-54</t>
  </si>
  <si>
    <t>SpotSize_A_15-Image Export-53</t>
  </si>
  <si>
    <t>SpotSize_A_16-Image Export-52</t>
  </si>
  <si>
    <t>IN718_20210323_M290</t>
  </si>
  <si>
    <t>IN625_20181026_SpotSize</t>
  </si>
  <si>
    <t>SpotSize_B_12-Image Export-39</t>
  </si>
  <si>
    <t>SpotSize_B_01-Image Export-50</t>
  </si>
  <si>
    <t>SpotSize_B_02-Image Export-49</t>
  </si>
  <si>
    <t>SpotSize_B_03-Image Export-48</t>
  </si>
  <si>
    <t>SpotSize_B_04-Image Export-47</t>
  </si>
  <si>
    <t>SpotSize_B_05-Image Export-46</t>
  </si>
  <si>
    <t>SpotSize_B_06-Image Export-45</t>
  </si>
  <si>
    <t>SpotSize_B_07-Image Export-44</t>
  </si>
  <si>
    <t>SpotSize_B_08-Image Export-43</t>
  </si>
  <si>
    <t>SpotSize_B_09-Image Export-42</t>
  </si>
  <si>
    <t>SpotSize_B_10-Image Export-41</t>
  </si>
  <si>
    <t>SpotSize_B_11-Image Export-40</t>
  </si>
  <si>
    <t>SpotSize_B_13-Image Export-38</t>
  </si>
  <si>
    <t>SpotSize_B_14-Image Export-37</t>
  </si>
  <si>
    <t>SpotSize_B_15-Image Export-36</t>
  </si>
  <si>
    <t>SpotSize_B_16-Image Export-35</t>
  </si>
  <si>
    <t>SpotSize_B_00-Image Export-51</t>
  </si>
  <si>
    <t>Folder Name</t>
  </si>
  <si>
    <t xml:space="preserve">323 grit </t>
  </si>
  <si>
    <t>IN625_20180828_Plate3_Line_01-Image Export-02</t>
  </si>
  <si>
    <t>IN625_20180828_Plate3_Set1</t>
  </si>
  <si>
    <t>IN625_20180828_Plate3_Set2</t>
  </si>
  <si>
    <t>IN625_20180828_Plate3_Line_02-Image Export-04</t>
  </si>
  <si>
    <t>IN625_20180828_Plate3_Line_03-Image Export-06</t>
  </si>
  <si>
    <t>IN625_20180828_Plate3_Line_04-Image Export-08</t>
  </si>
  <si>
    <t>IN625_20180828_Plate3_Line_05-Image Export-10</t>
  </si>
  <si>
    <t>IN625_20180828_Plate3_Line_06-Image Export-12</t>
  </si>
  <si>
    <t>IN625_20180828_Plate3_Line_07-Image Export-14</t>
  </si>
  <si>
    <t>IN625_20180828_Plate3_Line_08-Image Export-16</t>
  </si>
  <si>
    <t>IN625_20180828_Plate3_Line_09-Image Export-18</t>
  </si>
  <si>
    <t>IN625_20180828_Plate3_Line_10-Image Export-20</t>
  </si>
  <si>
    <t>IN625_20180828_Plate3_Line_11-Image Export-22</t>
  </si>
  <si>
    <t>IN625_20180828_Plate3_Line_12-Image Export-24</t>
  </si>
  <si>
    <t>IN625_20180828_Plate3_Line_13-Image Export-26</t>
  </si>
  <si>
    <t>20180828_Plate3_Line01-Image Export-01</t>
  </si>
  <si>
    <t>20180828_Plate3_Line02-Image Export-02</t>
  </si>
  <si>
    <t>20180828_Plate3_Line03-Image Export-03</t>
  </si>
  <si>
    <t>20180828_Plate3_Line04-Image Export-04</t>
  </si>
  <si>
    <t>20180828_Plate3_Line05-Image Export-05</t>
  </si>
  <si>
    <t>20180828_Plate3_Line06-Image Export-06</t>
  </si>
  <si>
    <t>20180828_Plate3_Line07-Image Export-07</t>
  </si>
  <si>
    <t>20180828_Plate3_Line08-Image Export-08</t>
  </si>
  <si>
    <t>20180828_Plate3_Line09-Image Export-09</t>
  </si>
  <si>
    <t>20180828_Plate3_Line10-Image Export-10</t>
  </si>
  <si>
    <t>20180828_Plate3_Line11-Image Export-11</t>
  </si>
  <si>
    <t>20180828_Plate3_Line12-Image Export-12</t>
  </si>
  <si>
    <t>20180828_Plate3_Line13-Image Export-13</t>
  </si>
  <si>
    <t>IN625_20180905_Plate4_Set1</t>
  </si>
  <si>
    <t>IN625_20180905_Plate4_Set2</t>
  </si>
  <si>
    <t>IN625_20180905_Plate4_Line_01-Image Export-30</t>
  </si>
  <si>
    <t>IN625_20180905_Plate4_Line_02-Image Export-32</t>
  </si>
  <si>
    <t>IN625_20180905_Plate4_Line_03-Image Export-34</t>
  </si>
  <si>
    <t>IN625_20180905_Plate4_Line_04-Image Export-36</t>
  </si>
  <si>
    <t>IN625_20180905_Plate4_Line_05-Image Export-38</t>
  </si>
  <si>
    <t>IN625_20180905_Plate4_Line_06-Image Export-40</t>
  </si>
  <si>
    <t>IN625_20180905_Plate4_Line_07-Image Export-42</t>
  </si>
  <si>
    <t>IN625_20180905_Plate4_Line_08-Image Export-44</t>
  </si>
  <si>
    <t>IN625_20180905_Plate4_Line_09-Image Export-46</t>
  </si>
  <si>
    <t>IN625_20180905_Plate4_Line_10-Image Export-48</t>
  </si>
  <si>
    <t>IN625_20180905_Plate4_Line_11-Image Export-50</t>
  </si>
  <si>
    <t>20180905_Plate4_Line_01-Image Export-64</t>
  </si>
  <si>
    <t>20180905_Plate4_Line_02-Image Export-63</t>
  </si>
  <si>
    <t>20180905_Plate4_Line_03-Image Export-62</t>
  </si>
  <si>
    <t>20180905_Plate4_Line_04-Image Export-61</t>
  </si>
  <si>
    <t>20180905_Plate4_Line_05-Image Export-60</t>
  </si>
  <si>
    <t>20180905_Plate4_Line_06-Image Export-59</t>
  </si>
  <si>
    <t>20180905_Plate4_Line_07-Image Export-58</t>
  </si>
  <si>
    <t>20180905_Plate4_Line_08-Image Export-57</t>
  </si>
  <si>
    <t>20180905_Plate4_Line_09-Image Export-56</t>
  </si>
  <si>
    <t>20180905_Plate4_Line_10-Image Export-55</t>
  </si>
  <si>
    <t>20180905_Plate4_Line_11-Image Export-54</t>
  </si>
  <si>
    <t>IN625_20180910_Plate10_Set1</t>
  </si>
  <si>
    <t>IN625_20180910_Plate10_Line_01-Image Export-121</t>
  </si>
  <si>
    <t>IN625_20180910_Plate10_Line_02-Image Export-123</t>
  </si>
  <si>
    <t>IN625_20180910_Plate10_Line_03-Image Export-127</t>
  </si>
  <si>
    <t>IN625_20180910_Plate10_Line_04-Image Export-129</t>
  </si>
  <si>
    <t>IN625_20180910_Plate10_Line_05-Image Export-131</t>
  </si>
  <si>
    <t>IN625_20180910_Plate10_Line_06-Image Export-133</t>
  </si>
  <si>
    <t>IN625_20180910_Plate10_Line_07-Image Export-135</t>
  </si>
  <si>
    <t>IN625_20180910_Plate10_Line_08-Image Export-137</t>
  </si>
  <si>
    <t>IN625_20180910_Plate10_Line_09-Image Export-139</t>
  </si>
  <si>
    <t>IN625_20180910_Plate10_Line_10-Image Export-141</t>
  </si>
  <si>
    <t>IN625_20180910_Plate10_Line_11-Image Export-143</t>
  </si>
  <si>
    <t>IN625_20180910_Plate10_Line_12-Image Export-145</t>
  </si>
  <si>
    <t>IN625_20180910_Plate10_Line_13-Image Export-147</t>
  </si>
  <si>
    <t>IN625_20180910_Plate10_Line_14-Image Export-149</t>
  </si>
  <si>
    <t>IN625_20180910_Plate10_Line_15-Image Export-151</t>
  </si>
  <si>
    <t>IN625_20180910_Plate10_Line_16-Image Export-153</t>
  </si>
  <si>
    <t>IN625_20180910_Plate10_Line_17-Image Export-155</t>
  </si>
  <si>
    <t>IN625_20180910_Plate10_Set2</t>
  </si>
  <si>
    <t>20180910_Plate10_Line_01-Image Export-53</t>
  </si>
  <si>
    <t>20180910_Plate10_Line_02-Image Export-52</t>
  </si>
  <si>
    <t>20180910_Plate10_Line_03-Image Export-51</t>
  </si>
  <si>
    <t>20180910_Plate10_Line_04-Image Export-50</t>
  </si>
  <si>
    <t>20180910_Plate10_Line_05-Image Export-49</t>
  </si>
  <si>
    <t>20180910_Plate10_Line_06-Image Export-48</t>
  </si>
  <si>
    <t>20180910_Plate10_Line_07-Image Export-47</t>
  </si>
  <si>
    <t>20180910_Plate10_Line_08-Image Export-46</t>
  </si>
  <si>
    <t>20180910_Plate10_Line_09-Image Export-45</t>
  </si>
  <si>
    <t>20180910_Plate10_Line_10-Image Export-44</t>
  </si>
  <si>
    <t>20180910_Plate10_Line_11-Image Export-43</t>
  </si>
  <si>
    <t>20180910_Plate10_Line_12-Image Export-42</t>
  </si>
  <si>
    <t>20180910_Plate10_Line_13-Image Export-41</t>
  </si>
  <si>
    <t>20180910_Plate10_Line_14-Image Export-40</t>
  </si>
  <si>
    <t>20180910_Plate10_Line_15-Image Export-39</t>
  </si>
  <si>
    <t>20180910_Plate10_Line_16-Image Export-38</t>
  </si>
  <si>
    <t>20180910_Plate10_Line_17-Image Export-37</t>
  </si>
  <si>
    <t>IN625_20180910_Plate8_01-Image Export-53</t>
  </si>
  <si>
    <t>IN625_20180910_Plate8_02-Image Export-55</t>
  </si>
  <si>
    <t>IN625_20180910_Plate8_03-Image Export-57</t>
  </si>
  <si>
    <t>IN625_20180910_Plate8_04-Image Export-59</t>
  </si>
  <si>
    <t>IN625_20180910_Plate8_05-Image Export-61</t>
  </si>
  <si>
    <t>IN625_20180910_Plate8_06-Image Export-63</t>
  </si>
  <si>
    <t>IN625_20180910_Plate8_07-Image Export-65</t>
  </si>
  <si>
    <t>IN625_20180910_Plate8_08-Image Export-67</t>
  </si>
  <si>
    <t>IN625_20180910_Plate8_09-Image Export-69</t>
  </si>
  <si>
    <t>IN625_20180910_Plate8_10-Image Export-71</t>
  </si>
  <si>
    <t>IN625_20180910_Plate8_11-Image Export-73</t>
  </si>
  <si>
    <t>IN625_20180910_Plate8_12-Image Export-75</t>
  </si>
  <si>
    <t>IN625_20180910_Plate8_13-Image Export-77</t>
  </si>
  <si>
    <t>IN625_20180910_Plate8_14-Image Export-79</t>
  </si>
  <si>
    <t>IN625_20180910_Plate8_15-Image Export-81</t>
  </si>
  <si>
    <t>IN625_20180910_Plate8_16-Image Export-83</t>
  </si>
  <si>
    <t>IN625_20180910_Plate8_Set1</t>
  </si>
  <si>
    <t>IN625_20180910_Plate8_Set2</t>
  </si>
  <si>
    <t>20180910_Plate8_Line_01-Image Export-18</t>
  </si>
  <si>
    <t>20180910_Plate8_Line_02-Image Export-19</t>
  </si>
  <si>
    <t>20180910_Plate8_Line_03-Image Export-17</t>
  </si>
  <si>
    <t>20180910_Plate8_Line_04-Image Export-16</t>
  </si>
  <si>
    <t>20180910_Plate8_Line_05-Image Export-15</t>
  </si>
  <si>
    <t>20180910_Plate8_Line_06-Image Export-14</t>
  </si>
  <si>
    <t>20180910_Plate8_Line_07-Image Export-13</t>
  </si>
  <si>
    <t>20180910_Plate8_Line_08-Image Export-12</t>
  </si>
  <si>
    <t>20180910_Plate8_Line_09-Image Export-11</t>
  </si>
  <si>
    <t>20180910_Plate8_Line_10-Image Export-10</t>
  </si>
  <si>
    <t>20180910_Plate8_Line_11-Image Export-09</t>
  </si>
  <si>
    <t>20180910_Plate8_Line_12-Image Export-08</t>
  </si>
  <si>
    <t>20180910_Plate8_Line_13-Image Export-07</t>
  </si>
  <si>
    <t>20180910_Plate8_Line_14-Image Export-06</t>
  </si>
  <si>
    <t>20180910_Plate8_Line_15-Image Export-05</t>
  </si>
  <si>
    <t>20180910_Plate8_Line_16-Image Export-04</t>
  </si>
  <si>
    <t>IN625_20180910_Plate9_Line_01-Image Export-86</t>
  </si>
  <si>
    <t>IN625_20180910_Plate9_Line_02-Image Export-88</t>
  </si>
  <si>
    <t>IN625_20180910_Plate9_Line_03-Image Export-90</t>
  </si>
  <si>
    <t>IN625_20180910_Plate9_Line_04-Image Export-92</t>
  </si>
  <si>
    <t>IN625_20180910_Plate9_Line_06-Image Export-96</t>
  </si>
  <si>
    <t>IN625_20180910_Plate9_Line_07-Image Export-98</t>
  </si>
  <si>
    <t>IN625_20180910_Plate9_Line_09-Image Export-102</t>
  </si>
  <si>
    <t>IN625_20180910_Plate9_Line_10-Image Export-104</t>
  </si>
  <si>
    <t>IN625_20180910_Plate9_Line_11-Image Export-106</t>
  </si>
  <si>
    <t>IN625_20180910_Plate9_Line_12-Image Export-108</t>
  </si>
  <si>
    <t>IN625_20180910_Plate9_Line_13-Image Export-110</t>
  </si>
  <si>
    <t>IN625_20180910_Plate9_Line_14-Image Export-112</t>
  </si>
  <si>
    <t>IN625_20180910_Plate9_Line_15-Image Export-114</t>
  </si>
  <si>
    <t>IN625_20180910_Plate9_Line_17_m-Image Export-119</t>
  </si>
  <si>
    <t>IN625_20180910_Plate9_Line_16-Image Export-116</t>
  </si>
  <si>
    <t>20180910_Plate9_Line_01-Image Export-36</t>
  </si>
  <si>
    <t>20180910_Plate9_Line_02-Image Export-35</t>
  </si>
  <si>
    <t>20180910_Plate9_Line_03-Image Export-34</t>
  </si>
  <si>
    <t>20180910_Plate9_Line_04-Image Export-33</t>
  </si>
  <si>
    <t>20180910_Plate9_Line_06-Image Export-31</t>
  </si>
  <si>
    <t>20180910_Plate9_Line_07-Image Export-30</t>
  </si>
  <si>
    <t>20180910_Plate9_Line_09-Image Export-28</t>
  </si>
  <si>
    <t>20180910_Plate9_Line_10-Image Export-27</t>
  </si>
  <si>
    <t>20180910_Plate9_Line_11-Image Export-26</t>
  </si>
  <si>
    <t>20180910_Plate9_Line_12-Image Export-25</t>
  </si>
  <si>
    <t>20180910_Plate9_Line_13-Image Export-24</t>
  </si>
  <si>
    <t>20180910_Plate9_Line_14-Image Export-23</t>
  </si>
  <si>
    <t>20180910_Plate9_Line_17-Image Export-20</t>
  </si>
  <si>
    <t>20180910_Plate9_Line_16-Image Export-21</t>
  </si>
  <si>
    <t>20180910_Plate9_Line_15-Image Export-22</t>
  </si>
  <si>
    <t>IN625_20180910_Plate9_Set2</t>
  </si>
  <si>
    <t>IN625_20180910_Plate9_Set1</t>
  </si>
  <si>
    <t>IN718_20210713_AMB_X</t>
  </si>
  <si>
    <t>IN718_20210713_AMB_Y</t>
  </si>
  <si>
    <r>
      <t>Pixel Size (</t>
    </r>
    <r>
      <rPr>
        <sz val="11"/>
        <color theme="1"/>
        <rFont val="Calibri"/>
        <family val="2"/>
      </rPr>
      <t>µ</t>
    </r>
    <r>
      <rPr>
        <sz val="7.7"/>
        <color theme="1"/>
        <rFont val="Calibri"/>
        <family val="2"/>
      </rPr>
      <t>m)</t>
    </r>
  </si>
  <si>
    <t>EOS M270</t>
  </si>
  <si>
    <t>Optical resolution (µm)</t>
  </si>
  <si>
    <t>User selection (µm)</t>
  </si>
  <si>
    <t>no. of measurements</t>
  </si>
  <si>
    <t>Scan Speed (mm/s)</t>
  </si>
  <si>
    <t>Average Width (µm)</t>
  </si>
  <si>
    <t>Std. dev. Width (µm)</t>
  </si>
  <si>
    <t>Average Depth (µm)</t>
  </si>
  <si>
    <t>Std. dev. Depth (µm)</t>
  </si>
  <si>
    <t xml:space="preserve"> Standard uncertainty of the mean depth (µm)</t>
  </si>
  <si>
    <t>Standard uncertainty of the mean width (µm)</t>
  </si>
  <si>
    <r>
      <t>Estimated D4</t>
    </r>
    <r>
      <rPr>
        <b/>
        <sz val="11"/>
        <color theme="1"/>
        <rFont val="Calibri"/>
        <family val="2"/>
      </rPr>
      <t xml:space="preserve">σ </t>
    </r>
    <r>
      <rPr>
        <b/>
        <sz val="11"/>
        <color theme="1"/>
        <rFont val="Calibri"/>
        <family val="2"/>
        <scheme val="minor"/>
      </rPr>
      <t>Spot Diameter (</t>
    </r>
    <r>
      <rPr>
        <b/>
        <sz val="11"/>
        <color theme="1"/>
        <rFont val="Calibri"/>
        <family val="2"/>
      </rPr>
      <t>µm</t>
    </r>
    <r>
      <rPr>
        <b/>
        <sz val="11"/>
        <color theme="1"/>
        <rFont val="Calibri"/>
        <family val="2"/>
        <scheme val="minor"/>
      </rPr>
      <t>)</t>
    </r>
  </si>
  <si>
    <t>Depth: Variability along track (µm)</t>
  </si>
  <si>
    <t>Width: Variability along track (µm)</t>
  </si>
  <si>
    <r>
      <t>Depth: Combined, Expanded uncertainty (</t>
    </r>
    <r>
      <rPr>
        <b/>
        <sz val="11"/>
        <color theme="1"/>
        <rFont val="Calibri"/>
        <family val="2"/>
      </rPr>
      <t>µm);</t>
    </r>
    <r>
      <rPr>
        <b/>
        <sz val="11"/>
        <color theme="1"/>
        <rFont val="Calibri"/>
        <family val="2"/>
        <scheme val="minor"/>
      </rPr>
      <t xml:space="preserve"> U (k-2)</t>
    </r>
  </si>
  <si>
    <r>
      <t>Width: Combined, Expanded uncertainty (</t>
    </r>
    <r>
      <rPr>
        <b/>
        <sz val="11"/>
        <color theme="1"/>
        <rFont val="Calibri"/>
        <family val="2"/>
      </rPr>
      <t>µm);</t>
    </r>
    <r>
      <rPr>
        <b/>
        <sz val="11"/>
        <color theme="1"/>
        <rFont val="Calibri"/>
        <family val="2"/>
        <scheme val="minor"/>
      </rPr>
      <t xml:space="preserve"> U (k=2)</t>
    </r>
  </si>
  <si>
    <t>t-value (p = 1- 0.68/2 )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</si>
</sst>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7.7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3" fillId="0" borderId="0" xfId="0" applyFont="1" applyFill="1"/>
    <xf numFmtId="49" fontId="0" fillId="0" borderId="0" xfId="0" applyNumberFormat="1" applyFill="1"/>
    <xf numFmtId="0" fontId="0" fillId="0" borderId="0" xfId="0" applyFill="1" applyAlignment="1">
      <alignment horizontal="right"/>
    </xf>
    <xf numFmtId="1" fontId="0" fillId="0" borderId="0" xfId="0" applyNumberFormat="1" applyFill="1"/>
    <xf numFmtId="0" fontId="0" fillId="0" borderId="0" xfId="0" applyFont="1" applyFill="1"/>
    <xf numFmtId="49" fontId="0" fillId="0" borderId="0" xfId="0" applyNumberFormat="1" applyFont="1" applyFill="1"/>
    <xf numFmtId="164" fontId="0" fillId="0" borderId="0" xfId="0" applyNumberFormat="1" applyFill="1"/>
    <xf numFmtId="164" fontId="0" fillId="0" borderId="0" xfId="0" applyNumberFormat="1" applyFont="1" applyFill="1"/>
    <xf numFmtId="164" fontId="0" fillId="0" borderId="0" xfId="0" applyNumberFormat="1"/>
    <xf numFmtId="0" fontId="5" fillId="0" borderId="0" xfId="0" applyFont="1" applyFill="1" applyAlignment="1">
      <alignment wrapText="1"/>
    </xf>
    <xf numFmtId="164" fontId="5" fillId="0" borderId="0" xfId="0" applyNumberFormat="1" applyFont="1" applyFill="1" applyAlignment="1">
      <alignment wrapText="1"/>
    </xf>
    <xf numFmtId="0" fontId="5" fillId="0" borderId="0" xfId="0" applyFont="1" applyAlignment="1">
      <alignment wrapText="1"/>
    </xf>
    <xf numFmtId="2" fontId="0" fillId="0" borderId="0" xfId="0" applyNumberFormat="1" applyFill="1"/>
    <xf numFmtId="165" fontId="5" fillId="0" borderId="0" xfId="0" applyNumberFormat="1" applyFont="1" applyFill="1" applyAlignment="1">
      <alignment wrapText="1"/>
    </xf>
    <xf numFmtId="165" fontId="0" fillId="0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A55E-05D2-49A2-B632-07B315380399}">
  <dimension ref="A1:Y251"/>
  <sheetViews>
    <sheetView zoomScale="70" zoomScaleNormal="70"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width="36.85546875" style="1" bestFit="1" customWidth="1"/>
    <col min="2" max="2" width="62.5703125" style="1" bestFit="1" customWidth="1"/>
    <col min="3" max="3" width="16.7109375" style="1" bestFit="1" customWidth="1"/>
    <col min="4" max="4" width="14.42578125" style="1" bestFit="1" customWidth="1"/>
    <col min="5" max="5" width="29.140625" style="1" bestFit="1" customWidth="1"/>
    <col min="6" max="16" width="9.140625" style="1"/>
    <col min="17" max="17" width="14.85546875" style="1" bestFit="1" customWidth="1"/>
    <col min="18" max="19" width="9.140625" style="1"/>
    <col min="20" max="20" width="15.28515625" style="1" customWidth="1"/>
    <col min="21" max="16384" width="9.140625" style="1"/>
  </cols>
  <sheetData>
    <row r="1" spans="1:15" x14ac:dyDescent="0.25">
      <c r="A1" s="1" t="s">
        <v>126</v>
      </c>
      <c r="B1" s="1" t="s">
        <v>0</v>
      </c>
      <c r="C1" s="1" t="s">
        <v>59</v>
      </c>
      <c r="D1" s="1" t="s">
        <v>284</v>
      </c>
      <c r="E1" s="1" t="s">
        <v>1</v>
      </c>
      <c r="F1" s="1" t="s">
        <v>2</v>
      </c>
      <c r="G1" s="1" t="s">
        <v>3</v>
      </c>
      <c r="H1" s="1" t="s">
        <v>4</v>
      </c>
      <c r="I1" s="4" t="s">
        <v>5</v>
      </c>
      <c r="J1" s="3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s="1" t="s">
        <v>107</v>
      </c>
      <c r="B2" s="1" t="s">
        <v>49</v>
      </c>
      <c r="C2" s="1" t="s">
        <v>60</v>
      </c>
      <c r="D2" s="1">
        <v>0.155</v>
      </c>
      <c r="E2" s="1" t="s">
        <v>12</v>
      </c>
      <c r="F2" s="1" t="s">
        <v>13</v>
      </c>
      <c r="G2" s="1" t="s">
        <v>14</v>
      </c>
      <c r="H2" s="1" t="s">
        <v>15</v>
      </c>
      <c r="I2" s="4" t="s">
        <v>39</v>
      </c>
      <c r="J2" s="3" t="s">
        <v>16</v>
      </c>
      <c r="K2" s="1">
        <v>80</v>
      </c>
      <c r="L2" s="1">
        <v>285</v>
      </c>
      <c r="M2" s="1">
        <v>960</v>
      </c>
      <c r="N2" s="1">
        <v>142.83000000000001</v>
      </c>
      <c r="O2" s="1">
        <v>125.71899999999999</v>
      </c>
    </row>
    <row r="3" spans="1:15" x14ac:dyDescent="0.25">
      <c r="A3" s="1" t="s">
        <v>107</v>
      </c>
      <c r="B3" s="1" t="s">
        <v>50</v>
      </c>
      <c r="C3" s="1" t="s">
        <v>60</v>
      </c>
      <c r="D3" s="1">
        <v>0.155</v>
      </c>
      <c r="E3" s="1" t="s">
        <v>12</v>
      </c>
      <c r="F3" s="1" t="s">
        <v>13</v>
      </c>
      <c r="G3" s="1" t="s">
        <v>14</v>
      </c>
      <c r="H3" s="1" t="s">
        <v>15</v>
      </c>
      <c r="I3" s="4" t="s">
        <v>39</v>
      </c>
      <c r="J3" s="3" t="s">
        <v>16</v>
      </c>
      <c r="K3" s="1">
        <v>80</v>
      </c>
      <c r="L3" s="1">
        <v>285</v>
      </c>
      <c r="M3" s="1">
        <v>960</v>
      </c>
      <c r="N3" s="1">
        <v>141.43299999999999</v>
      </c>
      <c r="O3" s="1">
        <v>120.83</v>
      </c>
    </row>
    <row r="4" spans="1:15" x14ac:dyDescent="0.25">
      <c r="A4" s="1" t="s">
        <v>107</v>
      </c>
      <c r="B4" s="1" t="s">
        <v>51</v>
      </c>
      <c r="C4" s="1" t="s">
        <v>60</v>
      </c>
      <c r="D4" s="1">
        <v>0.155</v>
      </c>
      <c r="E4" s="1" t="s">
        <v>12</v>
      </c>
      <c r="F4" s="1" t="s">
        <v>13</v>
      </c>
      <c r="G4" s="1" t="s">
        <v>14</v>
      </c>
      <c r="H4" s="1" t="s">
        <v>15</v>
      </c>
      <c r="I4" s="4" t="s">
        <v>39</v>
      </c>
      <c r="J4" s="3" t="s">
        <v>16</v>
      </c>
      <c r="K4" s="1">
        <v>80</v>
      </c>
      <c r="L4" s="1">
        <v>285</v>
      </c>
      <c r="M4" s="1">
        <v>960</v>
      </c>
      <c r="N4" s="1">
        <v>141.084</v>
      </c>
      <c r="O4" s="1">
        <v>121.877</v>
      </c>
    </row>
    <row r="5" spans="1:15" x14ac:dyDescent="0.25">
      <c r="A5" s="1" t="s">
        <v>107</v>
      </c>
      <c r="B5" s="1" t="s">
        <v>52</v>
      </c>
      <c r="C5" s="1" t="s">
        <v>60</v>
      </c>
      <c r="D5" s="1">
        <v>0.155</v>
      </c>
      <c r="E5" s="1" t="s">
        <v>12</v>
      </c>
      <c r="F5" s="1" t="s">
        <v>13</v>
      </c>
      <c r="G5" s="1" t="s">
        <v>14</v>
      </c>
      <c r="H5" s="1" t="s">
        <v>15</v>
      </c>
      <c r="I5" s="4" t="s">
        <v>39</v>
      </c>
      <c r="J5" s="3" t="s">
        <v>16</v>
      </c>
      <c r="K5" s="1">
        <v>80</v>
      </c>
      <c r="L5" s="1">
        <v>285</v>
      </c>
      <c r="M5" s="1">
        <v>960</v>
      </c>
      <c r="N5" s="1">
        <v>140.386</v>
      </c>
      <c r="O5" s="1">
        <v>122.925</v>
      </c>
    </row>
    <row r="6" spans="1:15" x14ac:dyDescent="0.25">
      <c r="A6" s="1" t="s">
        <v>107</v>
      </c>
      <c r="B6" s="1" t="s">
        <v>53</v>
      </c>
      <c r="C6" s="1" t="s">
        <v>60</v>
      </c>
      <c r="D6" s="1">
        <v>0.155</v>
      </c>
      <c r="E6" s="1" t="s">
        <v>12</v>
      </c>
      <c r="F6" s="1" t="s">
        <v>13</v>
      </c>
      <c r="G6" s="1" t="s">
        <v>14</v>
      </c>
      <c r="H6" s="1" t="s">
        <v>15</v>
      </c>
      <c r="I6" s="4" t="s">
        <v>39</v>
      </c>
      <c r="J6" s="3" t="s">
        <v>16</v>
      </c>
      <c r="K6" s="1">
        <v>80</v>
      </c>
      <c r="L6" s="1">
        <v>285</v>
      </c>
      <c r="M6" s="1">
        <v>960</v>
      </c>
      <c r="N6" s="1">
        <v>140.03700000000001</v>
      </c>
      <c r="O6" s="1">
        <v>123.74</v>
      </c>
    </row>
    <row r="7" spans="1:15" x14ac:dyDescent="0.25">
      <c r="A7" s="1" t="s">
        <v>107</v>
      </c>
      <c r="B7" s="1" t="s">
        <v>54</v>
      </c>
      <c r="C7" s="1" t="s">
        <v>60</v>
      </c>
      <c r="D7" s="1">
        <v>0.155</v>
      </c>
      <c r="E7" s="1" t="s">
        <v>12</v>
      </c>
      <c r="F7" s="1" t="s">
        <v>13</v>
      </c>
      <c r="G7" s="1" t="s">
        <v>14</v>
      </c>
      <c r="H7" s="1" t="s">
        <v>15</v>
      </c>
      <c r="I7" s="4" t="s">
        <v>39</v>
      </c>
      <c r="J7" s="3" t="s">
        <v>16</v>
      </c>
      <c r="K7" s="1">
        <v>80</v>
      </c>
      <c r="L7" s="1">
        <v>285</v>
      </c>
      <c r="M7" s="1">
        <v>960</v>
      </c>
      <c r="N7" s="1">
        <v>135.846</v>
      </c>
      <c r="O7" s="1">
        <v>121.52800000000001</v>
      </c>
    </row>
    <row r="8" spans="1:15" x14ac:dyDescent="0.25">
      <c r="A8" s="1" t="s">
        <v>107</v>
      </c>
      <c r="B8" s="1" t="s">
        <v>55</v>
      </c>
      <c r="C8" s="1" t="s">
        <v>60</v>
      </c>
      <c r="D8" s="1">
        <v>0.155</v>
      </c>
      <c r="E8" s="1" t="s">
        <v>12</v>
      </c>
      <c r="F8" s="1" t="s">
        <v>13</v>
      </c>
      <c r="G8" s="1" t="s">
        <v>14</v>
      </c>
      <c r="H8" s="1" t="s">
        <v>15</v>
      </c>
      <c r="I8" s="4" t="s">
        <v>39</v>
      </c>
      <c r="J8" s="3" t="s">
        <v>16</v>
      </c>
      <c r="K8" s="1">
        <v>80</v>
      </c>
      <c r="L8" s="1">
        <v>285</v>
      </c>
      <c r="M8" s="1">
        <v>960</v>
      </c>
      <c r="N8" s="1">
        <v>141.78299999999999</v>
      </c>
      <c r="O8" s="1">
        <v>119.782</v>
      </c>
    </row>
    <row r="9" spans="1:15" x14ac:dyDescent="0.25">
      <c r="A9" s="1" t="s">
        <v>107</v>
      </c>
      <c r="B9" s="1" t="s">
        <v>56</v>
      </c>
      <c r="C9" s="1" t="s">
        <v>60</v>
      </c>
      <c r="D9" s="1">
        <v>0.155</v>
      </c>
      <c r="E9" s="1" t="s">
        <v>12</v>
      </c>
      <c r="F9" s="1" t="s">
        <v>13</v>
      </c>
      <c r="G9" s="1" t="s">
        <v>14</v>
      </c>
      <c r="H9" s="1" t="s">
        <v>15</v>
      </c>
      <c r="I9" s="4" t="s">
        <v>39</v>
      </c>
      <c r="J9" s="3" t="s">
        <v>16</v>
      </c>
      <c r="K9" s="1">
        <v>80</v>
      </c>
      <c r="L9" s="1">
        <v>285</v>
      </c>
      <c r="M9" s="1">
        <v>960</v>
      </c>
      <c r="N9" s="1">
        <v>145.624</v>
      </c>
      <c r="O9" s="1">
        <v>125.369</v>
      </c>
    </row>
    <row r="10" spans="1:15" x14ac:dyDescent="0.25">
      <c r="A10" s="1" t="s">
        <v>107</v>
      </c>
      <c r="B10" s="1" t="s">
        <v>57</v>
      </c>
      <c r="C10" s="1" t="s">
        <v>60</v>
      </c>
      <c r="D10" s="1">
        <v>0.155</v>
      </c>
      <c r="E10" s="1" t="s">
        <v>12</v>
      </c>
      <c r="F10" s="1" t="s">
        <v>13</v>
      </c>
      <c r="G10" s="1" t="s">
        <v>14</v>
      </c>
      <c r="H10" s="1" t="s">
        <v>15</v>
      </c>
      <c r="I10" s="4" t="s">
        <v>39</v>
      </c>
      <c r="J10" s="3" t="s">
        <v>16</v>
      </c>
      <c r="K10" s="1">
        <v>80</v>
      </c>
      <c r="L10" s="1">
        <v>285</v>
      </c>
      <c r="M10" s="1">
        <v>960</v>
      </c>
      <c r="N10" s="1">
        <v>143.529</v>
      </c>
      <c r="O10" s="1">
        <v>120.131</v>
      </c>
    </row>
    <row r="11" spans="1:15" x14ac:dyDescent="0.25">
      <c r="A11" s="1" t="s">
        <v>107</v>
      </c>
      <c r="B11" s="1" t="s">
        <v>49</v>
      </c>
      <c r="C11" s="1" t="s">
        <v>60</v>
      </c>
      <c r="D11" s="1">
        <v>0.155</v>
      </c>
      <c r="E11" s="1" t="s">
        <v>12</v>
      </c>
      <c r="F11" s="1" t="s">
        <v>13</v>
      </c>
      <c r="G11" s="1" t="s">
        <v>14</v>
      </c>
      <c r="H11" s="1" t="s">
        <v>15</v>
      </c>
      <c r="I11" s="4" t="s">
        <v>39</v>
      </c>
      <c r="J11" s="3" t="s">
        <v>16</v>
      </c>
      <c r="K11" s="1">
        <v>80</v>
      </c>
      <c r="L11" s="1">
        <v>285</v>
      </c>
      <c r="M11" s="1">
        <v>960</v>
      </c>
      <c r="N11" s="1">
        <v>147.02099999999999</v>
      </c>
      <c r="O11" s="1">
        <v>124.322</v>
      </c>
    </row>
    <row r="12" spans="1:15" x14ac:dyDescent="0.25">
      <c r="A12" s="1" t="s">
        <v>107</v>
      </c>
      <c r="B12" s="1" t="s">
        <v>50</v>
      </c>
      <c r="C12" s="1" t="s">
        <v>60</v>
      </c>
      <c r="D12" s="1">
        <v>0.155</v>
      </c>
      <c r="E12" s="1" t="s">
        <v>12</v>
      </c>
      <c r="F12" s="1" t="s">
        <v>13</v>
      </c>
      <c r="G12" s="1" t="s">
        <v>14</v>
      </c>
      <c r="H12" s="1" t="s">
        <v>15</v>
      </c>
      <c r="I12" s="4" t="s">
        <v>39</v>
      </c>
      <c r="J12" s="3" t="s">
        <v>16</v>
      </c>
      <c r="K12" s="1">
        <v>80</v>
      </c>
      <c r="L12" s="1">
        <v>285</v>
      </c>
      <c r="M12" s="1">
        <v>960</v>
      </c>
      <c r="N12" s="1">
        <v>139.68700000000001</v>
      </c>
      <c r="O12" s="1">
        <v>122.925</v>
      </c>
    </row>
    <row r="13" spans="1:15" x14ac:dyDescent="0.25">
      <c r="A13" s="1" t="s">
        <v>107</v>
      </c>
      <c r="B13" s="1" t="s">
        <v>51</v>
      </c>
      <c r="C13" s="1" t="s">
        <v>60</v>
      </c>
      <c r="D13" s="1">
        <v>0.155</v>
      </c>
      <c r="E13" s="1" t="s">
        <v>12</v>
      </c>
      <c r="F13" s="1" t="s">
        <v>13</v>
      </c>
      <c r="G13" s="1" t="s">
        <v>14</v>
      </c>
      <c r="H13" s="1" t="s">
        <v>15</v>
      </c>
      <c r="I13" s="4" t="s">
        <v>39</v>
      </c>
      <c r="J13" s="3" t="s">
        <v>16</v>
      </c>
      <c r="K13" s="1">
        <v>80</v>
      </c>
      <c r="L13" s="1">
        <v>285</v>
      </c>
      <c r="M13" s="1">
        <v>960</v>
      </c>
      <c r="N13" s="1">
        <v>141.43299999999999</v>
      </c>
      <c r="O13" s="1">
        <v>117.337</v>
      </c>
    </row>
    <row r="14" spans="1:15" x14ac:dyDescent="0.25">
      <c r="A14" s="1" t="s">
        <v>107</v>
      </c>
      <c r="B14" s="1" t="s">
        <v>52</v>
      </c>
      <c r="C14" s="1" t="s">
        <v>60</v>
      </c>
      <c r="D14" s="1">
        <v>0.155</v>
      </c>
      <c r="E14" s="1" t="s">
        <v>12</v>
      </c>
      <c r="F14" s="1" t="s">
        <v>13</v>
      </c>
      <c r="G14" s="1" t="s">
        <v>14</v>
      </c>
      <c r="H14" s="1" t="s">
        <v>15</v>
      </c>
      <c r="I14" s="4" t="s">
        <v>39</v>
      </c>
      <c r="J14" s="3" t="s">
        <v>16</v>
      </c>
      <c r="K14" s="1">
        <v>80</v>
      </c>
      <c r="L14" s="1">
        <v>285</v>
      </c>
      <c r="M14" s="1">
        <v>960</v>
      </c>
      <c r="N14" s="1">
        <v>142.13200000000001</v>
      </c>
      <c r="O14" s="1">
        <v>123.274</v>
      </c>
    </row>
    <row r="15" spans="1:15" x14ac:dyDescent="0.25">
      <c r="A15" s="1" t="s">
        <v>107</v>
      </c>
      <c r="B15" s="1" t="s">
        <v>53</v>
      </c>
      <c r="C15" s="1" t="s">
        <v>60</v>
      </c>
      <c r="D15" s="1">
        <v>0.155</v>
      </c>
      <c r="E15" s="1" t="s">
        <v>12</v>
      </c>
      <c r="F15" s="1" t="s">
        <v>13</v>
      </c>
      <c r="G15" s="1" t="s">
        <v>14</v>
      </c>
      <c r="H15" s="1" t="s">
        <v>15</v>
      </c>
      <c r="I15" s="4" t="s">
        <v>39</v>
      </c>
      <c r="J15" s="3" t="s">
        <v>16</v>
      </c>
      <c r="K15" s="1">
        <v>80</v>
      </c>
      <c r="L15" s="1">
        <v>285</v>
      </c>
      <c r="M15" s="1">
        <v>960</v>
      </c>
      <c r="N15" s="1">
        <v>142.13200000000001</v>
      </c>
      <c r="O15" s="1">
        <v>122.925</v>
      </c>
    </row>
    <row r="16" spans="1:15" x14ac:dyDescent="0.25">
      <c r="A16" s="1" t="s">
        <v>107</v>
      </c>
      <c r="B16" s="1" t="s">
        <v>54</v>
      </c>
      <c r="C16" s="1" t="s">
        <v>60</v>
      </c>
      <c r="D16" s="1">
        <v>0.155</v>
      </c>
      <c r="E16" s="1" t="s">
        <v>12</v>
      </c>
      <c r="F16" s="1" t="s">
        <v>13</v>
      </c>
      <c r="G16" s="1" t="s">
        <v>14</v>
      </c>
      <c r="H16" s="1" t="s">
        <v>15</v>
      </c>
      <c r="I16" s="4" t="s">
        <v>39</v>
      </c>
      <c r="J16" s="3" t="s">
        <v>16</v>
      </c>
      <c r="K16" s="1">
        <v>80</v>
      </c>
      <c r="L16" s="1">
        <v>285</v>
      </c>
      <c r="M16" s="1">
        <v>960</v>
      </c>
      <c r="N16" s="1">
        <v>136.89400000000001</v>
      </c>
      <c r="O16" s="1">
        <v>121.877</v>
      </c>
    </row>
    <row r="17" spans="1:15" x14ac:dyDescent="0.25">
      <c r="A17" s="1" t="s">
        <v>107</v>
      </c>
      <c r="B17" s="1" t="s">
        <v>55</v>
      </c>
      <c r="C17" s="1" t="s">
        <v>60</v>
      </c>
      <c r="D17" s="1">
        <v>0.155</v>
      </c>
      <c r="E17" s="1" t="s">
        <v>12</v>
      </c>
      <c r="F17" s="1" t="s">
        <v>13</v>
      </c>
      <c r="G17" s="1" t="s">
        <v>14</v>
      </c>
      <c r="H17" s="1" t="s">
        <v>15</v>
      </c>
      <c r="I17" s="4" t="s">
        <v>39</v>
      </c>
      <c r="J17" s="3" t="s">
        <v>16</v>
      </c>
      <c r="K17" s="1">
        <v>80</v>
      </c>
      <c r="L17" s="1">
        <v>285</v>
      </c>
      <c r="M17" s="1">
        <v>960</v>
      </c>
      <c r="N17" s="1">
        <v>138.29</v>
      </c>
      <c r="O17" s="1">
        <v>121.52800000000001</v>
      </c>
    </row>
    <row r="18" spans="1:15" x14ac:dyDescent="0.25">
      <c r="A18" s="1" t="s">
        <v>107</v>
      </c>
      <c r="B18" s="1" t="s">
        <v>56</v>
      </c>
      <c r="C18" s="1" t="s">
        <v>60</v>
      </c>
      <c r="D18" s="1">
        <v>0.155</v>
      </c>
      <c r="E18" s="1" t="s">
        <v>12</v>
      </c>
      <c r="F18" s="1" t="s">
        <v>13</v>
      </c>
      <c r="G18" s="1" t="s">
        <v>14</v>
      </c>
      <c r="H18" s="1" t="s">
        <v>15</v>
      </c>
      <c r="I18" s="4" t="s">
        <v>39</v>
      </c>
      <c r="J18" s="3" t="s">
        <v>16</v>
      </c>
      <c r="K18" s="1">
        <v>80</v>
      </c>
      <c r="L18" s="1">
        <v>285</v>
      </c>
      <c r="M18" s="1">
        <v>960</v>
      </c>
      <c r="N18" s="1">
        <v>141.084</v>
      </c>
      <c r="O18" s="1">
        <v>124.67100000000001</v>
      </c>
    </row>
    <row r="19" spans="1:15" x14ac:dyDescent="0.25">
      <c r="A19" s="1" t="s">
        <v>107</v>
      </c>
      <c r="B19" s="1" t="s">
        <v>57</v>
      </c>
      <c r="C19" s="1" t="s">
        <v>60</v>
      </c>
      <c r="D19" s="1">
        <v>0.155</v>
      </c>
      <c r="E19" s="1" t="s">
        <v>12</v>
      </c>
      <c r="F19" s="1" t="s">
        <v>13</v>
      </c>
      <c r="G19" s="1" t="s">
        <v>14</v>
      </c>
      <c r="H19" s="1" t="s">
        <v>15</v>
      </c>
      <c r="I19" s="4" t="s">
        <v>39</v>
      </c>
      <c r="J19" s="3" t="s">
        <v>16</v>
      </c>
      <c r="K19" s="1">
        <v>80</v>
      </c>
      <c r="L19" s="1">
        <v>285</v>
      </c>
      <c r="M19" s="1">
        <v>960</v>
      </c>
      <c r="N19" s="1">
        <v>142.83000000000001</v>
      </c>
      <c r="O19" s="1">
        <v>122.226</v>
      </c>
    </row>
    <row r="20" spans="1:15" x14ac:dyDescent="0.25">
      <c r="A20" s="1" t="s">
        <v>282</v>
      </c>
      <c r="B20" s="1" t="s">
        <v>58</v>
      </c>
      <c r="C20" s="1" t="s">
        <v>60</v>
      </c>
      <c r="D20" s="1">
        <v>0.93</v>
      </c>
      <c r="E20" s="1" t="s">
        <v>17</v>
      </c>
      <c r="F20" s="1" t="s">
        <v>13</v>
      </c>
      <c r="G20" s="1" t="s">
        <v>14</v>
      </c>
      <c r="H20" s="1" t="s">
        <v>18</v>
      </c>
      <c r="I20" s="4">
        <v>1</v>
      </c>
      <c r="J20" s="3" t="s">
        <v>16</v>
      </c>
      <c r="K20" s="5">
        <v>63.167443199999866</v>
      </c>
      <c r="L20" s="1">
        <v>285</v>
      </c>
      <c r="M20" s="1">
        <v>960</v>
      </c>
      <c r="N20" s="1">
        <v>137.54400000000001</v>
      </c>
      <c r="O20" s="1">
        <v>143.78200000000001</v>
      </c>
    </row>
    <row r="21" spans="1:15" x14ac:dyDescent="0.25">
      <c r="A21" s="1" t="s">
        <v>282</v>
      </c>
      <c r="B21" s="1" t="s">
        <v>58</v>
      </c>
      <c r="C21" s="1" t="s">
        <v>60</v>
      </c>
      <c r="D21" s="1">
        <v>0.93</v>
      </c>
      <c r="E21" s="1" t="s">
        <v>17</v>
      </c>
      <c r="F21" s="1" t="s">
        <v>13</v>
      </c>
      <c r="G21" s="1" t="s">
        <v>14</v>
      </c>
      <c r="H21" s="1" t="s">
        <v>18</v>
      </c>
      <c r="I21" s="4">
        <v>1</v>
      </c>
      <c r="J21" s="3" t="s">
        <v>16</v>
      </c>
      <c r="K21" s="5">
        <v>63.167443199999866</v>
      </c>
      <c r="L21" s="1">
        <v>285</v>
      </c>
      <c r="M21" s="1">
        <v>960</v>
      </c>
      <c r="N21" s="1">
        <v>138.88800000000001</v>
      </c>
      <c r="O21" s="1">
        <v>140.971</v>
      </c>
    </row>
    <row r="22" spans="1:15" x14ac:dyDescent="0.25">
      <c r="A22" s="1" t="s">
        <v>282</v>
      </c>
      <c r="B22" s="1" t="s">
        <v>61</v>
      </c>
      <c r="C22" s="1" t="s">
        <v>60</v>
      </c>
      <c r="D22" s="1">
        <v>0.93</v>
      </c>
      <c r="E22" s="1" t="s">
        <v>17</v>
      </c>
      <c r="F22" s="1" t="s">
        <v>13</v>
      </c>
      <c r="G22" s="1" t="s">
        <v>14</v>
      </c>
      <c r="H22" s="1" t="s">
        <v>18</v>
      </c>
      <c r="I22" s="4">
        <v>2</v>
      </c>
      <c r="J22" s="3" t="s">
        <v>16</v>
      </c>
      <c r="K22" s="5">
        <v>63.167443199999866</v>
      </c>
      <c r="L22" s="1">
        <v>285</v>
      </c>
      <c r="M22" s="1">
        <v>960</v>
      </c>
      <c r="N22" s="1">
        <v>133.73500000000001</v>
      </c>
      <c r="O22" s="1">
        <v>146.078</v>
      </c>
    </row>
    <row r="23" spans="1:15" x14ac:dyDescent="0.25">
      <c r="A23" s="1" t="s">
        <v>282</v>
      </c>
      <c r="B23" s="1" t="s">
        <v>61</v>
      </c>
      <c r="C23" s="1" t="s">
        <v>60</v>
      </c>
      <c r="D23" s="1">
        <v>0.93</v>
      </c>
      <c r="E23" s="1" t="s">
        <v>17</v>
      </c>
      <c r="F23" s="1" t="s">
        <v>13</v>
      </c>
      <c r="G23" s="1" t="s">
        <v>14</v>
      </c>
      <c r="H23" s="1" t="s">
        <v>18</v>
      </c>
      <c r="I23" s="4">
        <v>2</v>
      </c>
      <c r="J23" s="3" t="s">
        <v>16</v>
      </c>
      <c r="K23" s="5">
        <v>63.167443199999866</v>
      </c>
      <c r="L23" s="1">
        <v>285</v>
      </c>
      <c r="M23" s="1">
        <v>960</v>
      </c>
      <c r="N23" s="1">
        <v>128.98699999999999</v>
      </c>
      <c r="O23" s="1">
        <v>140.577</v>
      </c>
    </row>
    <row r="24" spans="1:15" x14ac:dyDescent="0.25">
      <c r="A24" s="1" t="s">
        <v>282</v>
      </c>
      <c r="B24" s="1" t="s">
        <v>62</v>
      </c>
      <c r="C24" s="1" t="s">
        <v>60</v>
      </c>
      <c r="D24" s="1">
        <v>0.93</v>
      </c>
      <c r="E24" s="1" t="s">
        <v>17</v>
      </c>
      <c r="F24" s="1" t="s">
        <v>13</v>
      </c>
      <c r="G24" s="1" t="s">
        <v>14</v>
      </c>
      <c r="H24" s="1" t="s">
        <v>18</v>
      </c>
      <c r="I24" s="4">
        <v>3</v>
      </c>
      <c r="J24" s="3" t="s">
        <v>16</v>
      </c>
      <c r="K24" s="5">
        <v>63.167443199999866</v>
      </c>
      <c r="L24" s="1">
        <v>285</v>
      </c>
      <c r="M24" s="1">
        <v>960</v>
      </c>
      <c r="N24" s="1">
        <v>144.67500000000001</v>
      </c>
      <c r="O24" s="1">
        <v>147.56800000000001</v>
      </c>
    </row>
    <row r="25" spans="1:15" x14ac:dyDescent="0.25">
      <c r="A25" s="1" t="s">
        <v>282</v>
      </c>
      <c r="B25" s="1" t="s">
        <v>62</v>
      </c>
      <c r="C25" s="1" t="s">
        <v>60</v>
      </c>
      <c r="D25" s="1">
        <v>0.93</v>
      </c>
      <c r="E25" s="1" t="s">
        <v>17</v>
      </c>
      <c r="F25" s="1" t="s">
        <v>13</v>
      </c>
      <c r="G25" s="1" t="s">
        <v>14</v>
      </c>
      <c r="H25" s="1" t="s">
        <v>18</v>
      </c>
      <c r="I25" s="4">
        <v>3</v>
      </c>
      <c r="J25" s="3" t="s">
        <v>16</v>
      </c>
      <c r="K25" s="5">
        <v>63.167443199999866</v>
      </c>
      <c r="L25" s="1">
        <v>285</v>
      </c>
      <c r="M25" s="1">
        <v>960</v>
      </c>
      <c r="N25" s="1">
        <v>143.59</v>
      </c>
      <c r="O25" s="1">
        <v>146.12100000000001</v>
      </c>
    </row>
    <row r="26" spans="1:15" x14ac:dyDescent="0.25">
      <c r="A26" s="1" t="s">
        <v>282</v>
      </c>
      <c r="B26" s="1" t="s">
        <v>63</v>
      </c>
      <c r="C26" s="1" t="s">
        <v>60</v>
      </c>
      <c r="D26" s="1">
        <v>0.93</v>
      </c>
      <c r="E26" s="1" t="s">
        <v>17</v>
      </c>
      <c r="F26" s="1" t="s">
        <v>13</v>
      </c>
      <c r="G26" s="1" t="s">
        <v>14</v>
      </c>
      <c r="H26" s="1" t="s">
        <v>18</v>
      </c>
      <c r="I26" s="4">
        <v>4</v>
      </c>
      <c r="J26" s="3" t="s">
        <v>16</v>
      </c>
      <c r="K26" s="5">
        <v>70.098119999999994</v>
      </c>
      <c r="L26" s="1">
        <v>285</v>
      </c>
      <c r="M26" s="1">
        <v>960</v>
      </c>
      <c r="N26" s="1">
        <v>146.29499999999999</v>
      </c>
      <c r="O26" s="1">
        <v>125.925</v>
      </c>
    </row>
    <row r="27" spans="1:15" x14ac:dyDescent="0.25">
      <c r="A27" s="1" t="s">
        <v>282</v>
      </c>
      <c r="B27" s="1" t="s">
        <v>63</v>
      </c>
      <c r="C27" s="1" t="s">
        <v>60</v>
      </c>
      <c r="D27" s="1">
        <v>0.93</v>
      </c>
      <c r="E27" s="1" t="s">
        <v>17</v>
      </c>
      <c r="F27" s="1" t="s">
        <v>13</v>
      </c>
      <c r="G27" s="1" t="s">
        <v>14</v>
      </c>
      <c r="H27" s="1" t="s">
        <v>18</v>
      </c>
      <c r="I27" s="4">
        <v>4</v>
      </c>
      <c r="J27" s="3" t="s">
        <v>16</v>
      </c>
      <c r="K27" s="5">
        <v>70.098119999999994</v>
      </c>
      <c r="L27" s="1">
        <v>285</v>
      </c>
      <c r="M27" s="1">
        <v>960</v>
      </c>
      <c r="N27" s="1">
        <v>142.59100000000001</v>
      </c>
      <c r="O27" s="1">
        <v>124.767</v>
      </c>
    </row>
    <row r="28" spans="1:15" x14ac:dyDescent="0.25">
      <c r="A28" s="1" t="s">
        <v>282</v>
      </c>
      <c r="B28" s="1" t="s">
        <v>64</v>
      </c>
      <c r="C28" s="1" t="s">
        <v>60</v>
      </c>
      <c r="D28" s="1">
        <v>0.93</v>
      </c>
      <c r="E28" s="1" t="s">
        <v>17</v>
      </c>
      <c r="F28" s="1" t="s">
        <v>13</v>
      </c>
      <c r="G28" s="1" t="s">
        <v>14</v>
      </c>
      <c r="H28" s="1" t="s">
        <v>18</v>
      </c>
      <c r="I28" s="4">
        <v>5</v>
      </c>
      <c r="J28" s="3" t="s">
        <v>16</v>
      </c>
      <c r="K28" s="5">
        <v>70.098119999999994</v>
      </c>
      <c r="L28" s="1">
        <v>285</v>
      </c>
      <c r="M28" s="1">
        <v>960</v>
      </c>
      <c r="N28" s="1">
        <v>130.00700000000001</v>
      </c>
      <c r="O28" s="1">
        <v>131.249</v>
      </c>
    </row>
    <row r="29" spans="1:15" x14ac:dyDescent="0.25">
      <c r="A29" s="1" t="s">
        <v>282</v>
      </c>
      <c r="B29" s="1" t="s">
        <v>64</v>
      </c>
      <c r="C29" s="1" t="s">
        <v>60</v>
      </c>
      <c r="D29" s="1">
        <v>0.93</v>
      </c>
      <c r="E29" s="1" t="s">
        <v>17</v>
      </c>
      <c r="F29" s="1" t="s">
        <v>13</v>
      </c>
      <c r="G29" s="1" t="s">
        <v>14</v>
      </c>
      <c r="H29" s="1" t="s">
        <v>18</v>
      </c>
      <c r="I29" s="4">
        <v>5</v>
      </c>
      <c r="J29" s="3" t="s">
        <v>16</v>
      </c>
      <c r="K29" s="5">
        <v>70.098119999999994</v>
      </c>
      <c r="L29" s="1">
        <v>285</v>
      </c>
      <c r="M29" s="1">
        <v>960</v>
      </c>
      <c r="N29" s="1">
        <v>128.14699999999999</v>
      </c>
      <c r="O29" s="1">
        <v>135.739</v>
      </c>
    </row>
    <row r="30" spans="1:15" x14ac:dyDescent="0.25">
      <c r="A30" s="1" t="s">
        <v>282</v>
      </c>
      <c r="B30" s="1" t="s">
        <v>65</v>
      </c>
      <c r="C30" s="1" t="s">
        <v>60</v>
      </c>
      <c r="D30" s="1">
        <v>0.93</v>
      </c>
      <c r="E30" s="1" t="s">
        <v>17</v>
      </c>
      <c r="F30" s="1" t="s">
        <v>13</v>
      </c>
      <c r="G30" s="1" t="s">
        <v>14</v>
      </c>
      <c r="H30" s="1" t="s">
        <v>18</v>
      </c>
      <c r="I30" s="4">
        <v>6</v>
      </c>
      <c r="J30" s="3" t="s">
        <v>16</v>
      </c>
      <c r="K30" s="5">
        <v>70.098119999999994</v>
      </c>
      <c r="L30" s="1">
        <v>285</v>
      </c>
      <c r="M30" s="1">
        <v>960</v>
      </c>
      <c r="N30" s="1">
        <v>131.97900000000001</v>
      </c>
      <c r="O30" s="1">
        <v>133.96899999999999</v>
      </c>
    </row>
    <row r="31" spans="1:15" x14ac:dyDescent="0.25">
      <c r="A31" s="1" t="s">
        <v>282</v>
      </c>
      <c r="B31" s="1" t="s">
        <v>65</v>
      </c>
      <c r="C31" s="1" t="s">
        <v>60</v>
      </c>
      <c r="D31" s="1">
        <v>0.93</v>
      </c>
      <c r="E31" s="1" t="s">
        <v>17</v>
      </c>
      <c r="F31" s="1" t="s">
        <v>13</v>
      </c>
      <c r="G31" s="1" t="s">
        <v>14</v>
      </c>
      <c r="H31" s="1" t="s">
        <v>18</v>
      </c>
      <c r="I31" s="4">
        <v>6</v>
      </c>
      <c r="J31" s="3" t="s">
        <v>16</v>
      </c>
      <c r="K31" s="5">
        <v>70.098119999999994</v>
      </c>
      <c r="L31" s="1">
        <v>285</v>
      </c>
      <c r="M31" s="1">
        <v>960</v>
      </c>
      <c r="N31" s="1">
        <v>128.33199999999999</v>
      </c>
      <c r="O31" s="1">
        <v>136.851</v>
      </c>
    </row>
    <row r="32" spans="1:15" x14ac:dyDescent="0.25">
      <c r="A32" s="1" t="s">
        <v>282</v>
      </c>
      <c r="B32" s="1" t="s">
        <v>66</v>
      </c>
      <c r="C32" s="1" t="s">
        <v>60</v>
      </c>
      <c r="D32" s="1">
        <v>0.93</v>
      </c>
      <c r="E32" s="1" t="s">
        <v>17</v>
      </c>
      <c r="F32" s="1" t="s">
        <v>13</v>
      </c>
      <c r="G32" s="1" t="s">
        <v>14</v>
      </c>
      <c r="H32" s="1" t="s">
        <v>18</v>
      </c>
      <c r="I32" s="4">
        <v>7</v>
      </c>
      <c r="J32" s="3" t="s">
        <v>16</v>
      </c>
      <c r="K32" s="5">
        <v>59.052000000000021</v>
      </c>
      <c r="L32" s="1">
        <v>285</v>
      </c>
      <c r="M32" s="1">
        <v>960</v>
      </c>
      <c r="N32" s="1">
        <v>122.976</v>
      </c>
      <c r="O32" s="1">
        <v>177.95</v>
      </c>
    </row>
    <row r="33" spans="1:15" x14ac:dyDescent="0.25">
      <c r="A33" s="1" t="s">
        <v>282</v>
      </c>
      <c r="B33" s="1" t="s">
        <v>66</v>
      </c>
      <c r="C33" s="1" t="s">
        <v>60</v>
      </c>
      <c r="D33" s="1">
        <v>0.93</v>
      </c>
      <c r="E33" s="1" t="s">
        <v>17</v>
      </c>
      <c r="F33" s="1" t="s">
        <v>13</v>
      </c>
      <c r="G33" s="1" t="s">
        <v>14</v>
      </c>
      <c r="H33" s="1" t="s">
        <v>18</v>
      </c>
      <c r="I33" s="4">
        <v>7</v>
      </c>
      <c r="J33" s="3" t="s">
        <v>16</v>
      </c>
      <c r="K33" s="5">
        <v>59.052000000000021</v>
      </c>
      <c r="L33" s="1">
        <v>285</v>
      </c>
      <c r="M33" s="1">
        <v>960</v>
      </c>
      <c r="N33" s="1">
        <v>125.809</v>
      </c>
      <c r="O33" s="1">
        <v>171.29599999999999</v>
      </c>
    </row>
    <row r="34" spans="1:15" x14ac:dyDescent="0.25">
      <c r="A34" s="1" t="s">
        <v>282</v>
      </c>
      <c r="B34" s="1" t="s">
        <v>67</v>
      </c>
      <c r="C34" s="1" t="s">
        <v>60</v>
      </c>
      <c r="D34" s="1">
        <v>0.93</v>
      </c>
      <c r="E34" s="1" t="s">
        <v>17</v>
      </c>
      <c r="F34" s="1" t="s">
        <v>13</v>
      </c>
      <c r="G34" s="1" t="s">
        <v>14</v>
      </c>
      <c r="H34" s="1" t="s">
        <v>18</v>
      </c>
      <c r="I34" s="4">
        <v>8</v>
      </c>
      <c r="J34" s="3" t="s">
        <v>16</v>
      </c>
      <c r="K34" s="5">
        <v>59.052000000000021</v>
      </c>
      <c r="L34" s="1">
        <v>285</v>
      </c>
      <c r="M34" s="1">
        <v>960</v>
      </c>
      <c r="N34" s="1">
        <v>122.453</v>
      </c>
      <c r="O34" s="1">
        <v>180.554</v>
      </c>
    </row>
    <row r="35" spans="1:15" x14ac:dyDescent="0.25">
      <c r="A35" s="1" t="s">
        <v>282</v>
      </c>
      <c r="B35" s="1" t="s">
        <v>67</v>
      </c>
      <c r="C35" s="1" t="s">
        <v>60</v>
      </c>
      <c r="D35" s="1">
        <v>0.93</v>
      </c>
      <c r="E35" s="1" t="s">
        <v>17</v>
      </c>
      <c r="F35" s="1" t="s">
        <v>13</v>
      </c>
      <c r="G35" s="1" t="s">
        <v>14</v>
      </c>
      <c r="H35" s="1" t="s">
        <v>18</v>
      </c>
      <c r="I35" s="4">
        <v>8</v>
      </c>
      <c r="J35" s="3" t="s">
        <v>16</v>
      </c>
      <c r="K35" s="5">
        <v>59.052000000000021</v>
      </c>
      <c r="L35" s="1">
        <v>285</v>
      </c>
      <c r="M35" s="1">
        <v>960</v>
      </c>
      <c r="N35" s="1">
        <v>129.19399999999999</v>
      </c>
      <c r="O35" s="1">
        <v>173.37899999999999</v>
      </c>
    </row>
    <row r="36" spans="1:15" x14ac:dyDescent="0.25">
      <c r="A36" s="1" t="s">
        <v>282</v>
      </c>
      <c r="B36" s="1" t="s">
        <v>68</v>
      </c>
      <c r="C36" s="1" t="s">
        <v>60</v>
      </c>
      <c r="D36" s="1">
        <v>0.93</v>
      </c>
      <c r="E36" s="1" t="s">
        <v>17</v>
      </c>
      <c r="F36" s="1" t="s">
        <v>13</v>
      </c>
      <c r="G36" s="1" t="s">
        <v>14</v>
      </c>
      <c r="H36" s="1" t="s">
        <v>18</v>
      </c>
      <c r="I36" s="4">
        <v>9</v>
      </c>
      <c r="J36" s="3" t="s">
        <v>16</v>
      </c>
      <c r="K36" s="5">
        <v>59.052000000000021</v>
      </c>
      <c r="L36" s="1">
        <v>285</v>
      </c>
      <c r="M36" s="1">
        <v>960</v>
      </c>
      <c r="N36" s="1">
        <v>119.501</v>
      </c>
      <c r="O36" s="1">
        <v>186.63</v>
      </c>
    </row>
    <row r="37" spans="1:15" x14ac:dyDescent="0.25">
      <c r="A37" s="1" t="s">
        <v>282</v>
      </c>
      <c r="B37" s="1" t="s">
        <v>68</v>
      </c>
      <c r="C37" s="1" t="s">
        <v>60</v>
      </c>
      <c r="D37" s="1">
        <v>0.93</v>
      </c>
      <c r="E37" s="1" t="s">
        <v>17</v>
      </c>
      <c r="F37" s="1" t="s">
        <v>13</v>
      </c>
      <c r="G37" s="1" t="s">
        <v>14</v>
      </c>
      <c r="H37" s="1" t="s">
        <v>18</v>
      </c>
      <c r="I37" s="4">
        <v>9</v>
      </c>
      <c r="J37" s="3" t="s">
        <v>16</v>
      </c>
      <c r="K37" s="5">
        <v>59.052000000000021</v>
      </c>
      <c r="L37" s="1">
        <v>285</v>
      </c>
      <c r="M37" s="1">
        <v>960</v>
      </c>
      <c r="N37" s="1">
        <v>122.973</v>
      </c>
      <c r="O37" s="1">
        <v>175.14599999999999</v>
      </c>
    </row>
    <row r="38" spans="1:15" x14ac:dyDescent="0.25">
      <c r="A38" s="1" t="s">
        <v>282</v>
      </c>
      <c r="B38" s="1" t="s">
        <v>69</v>
      </c>
      <c r="C38" s="1" t="s">
        <v>60</v>
      </c>
      <c r="D38" s="1">
        <v>0.93</v>
      </c>
      <c r="E38" s="1" t="s">
        <v>17</v>
      </c>
      <c r="F38" s="1" t="s">
        <v>13</v>
      </c>
      <c r="G38" s="1" t="s">
        <v>14</v>
      </c>
      <c r="H38" s="1" t="s">
        <v>18</v>
      </c>
      <c r="I38" s="4">
        <v>10</v>
      </c>
      <c r="J38" s="3" t="s">
        <v>16</v>
      </c>
      <c r="K38" s="5">
        <v>55.931079999999952</v>
      </c>
      <c r="L38" s="1">
        <v>285</v>
      </c>
      <c r="M38" s="1">
        <v>960</v>
      </c>
      <c r="N38" s="1">
        <v>120.803</v>
      </c>
      <c r="O38" s="1">
        <v>196.03399999999999</v>
      </c>
    </row>
    <row r="39" spans="1:15" x14ac:dyDescent="0.25">
      <c r="A39" s="1" t="s">
        <v>282</v>
      </c>
      <c r="B39" s="1" t="s">
        <v>69</v>
      </c>
      <c r="C39" s="1" t="s">
        <v>60</v>
      </c>
      <c r="D39" s="1">
        <v>0.93</v>
      </c>
      <c r="E39" s="1" t="s">
        <v>17</v>
      </c>
      <c r="F39" s="1" t="s">
        <v>13</v>
      </c>
      <c r="G39" s="1" t="s">
        <v>14</v>
      </c>
      <c r="H39" s="1" t="s">
        <v>18</v>
      </c>
      <c r="I39" s="4">
        <v>10</v>
      </c>
      <c r="J39" s="3" t="s">
        <v>16</v>
      </c>
      <c r="K39" s="5">
        <v>55.931079999999952</v>
      </c>
      <c r="L39" s="1">
        <v>285</v>
      </c>
      <c r="M39" s="1">
        <v>960</v>
      </c>
      <c r="N39" s="1">
        <v>114.29300000000001</v>
      </c>
      <c r="O39" s="1">
        <v>192.05500000000001</v>
      </c>
    </row>
    <row r="40" spans="1:15" x14ac:dyDescent="0.25">
      <c r="A40" s="1" t="s">
        <v>282</v>
      </c>
      <c r="B40" s="1" t="s">
        <v>70</v>
      </c>
      <c r="C40" s="1" t="s">
        <v>60</v>
      </c>
      <c r="D40" s="1">
        <v>0.93</v>
      </c>
      <c r="E40" s="1" t="s">
        <v>17</v>
      </c>
      <c r="F40" s="1" t="s">
        <v>13</v>
      </c>
      <c r="G40" s="1" t="s">
        <v>14</v>
      </c>
      <c r="H40" s="1" t="s">
        <v>18</v>
      </c>
      <c r="I40" s="4">
        <v>11</v>
      </c>
      <c r="J40" s="3" t="s">
        <v>16</v>
      </c>
      <c r="K40" s="5">
        <v>55.931079999999952</v>
      </c>
      <c r="L40" s="1">
        <v>285</v>
      </c>
      <c r="M40" s="1">
        <v>960</v>
      </c>
      <c r="N40" s="1">
        <v>115.624</v>
      </c>
      <c r="O40" s="1">
        <v>198.358</v>
      </c>
    </row>
    <row r="41" spans="1:15" x14ac:dyDescent="0.25">
      <c r="A41" s="1" t="s">
        <v>282</v>
      </c>
      <c r="B41" s="1" t="s">
        <v>70</v>
      </c>
      <c r="C41" s="1" t="s">
        <v>60</v>
      </c>
      <c r="D41" s="1">
        <v>0.93</v>
      </c>
      <c r="E41" s="1" t="s">
        <v>17</v>
      </c>
      <c r="F41" s="1" t="s">
        <v>13</v>
      </c>
      <c r="G41" s="1" t="s">
        <v>14</v>
      </c>
      <c r="H41" s="1" t="s">
        <v>18</v>
      </c>
      <c r="I41" s="4">
        <v>11</v>
      </c>
      <c r="J41" s="3" t="s">
        <v>16</v>
      </c>
      <c r="K41" s="5">
        <v>55.931079999999952</v>
      </c>
      <c r="L41" s="1">
        <v>285</v>
      </c>
      <c r="M41" s="1">
        <v>960</v>
      </c>
      <c r="N41" s="1">
        <v>119.212</v>
      </c>
      <c r="O41" s="1">
        <v>194.732</v>
      </c>
    </row>
    <row r="42" spans="1:15" x14ac:dyDescent="0.25">
      <c r="A42" s="1" t="s">
        <v>282</v>
      </c>
      <c r="B42" s="1" t="s">
        <v>71</v>
      </c>
      <c r="C42" s="1" t="s">
        <v>60</v>
      </c>
      <c r="D42" s="1">
        <v>0.93</v>
      </c>
      <c r="E42" s="1" t="s">
        <v>17</v>
      </c>
      <c r="F42" s="1" t="s">
        <v>13</v>
      </c>
      <c r="G42" s="1" t="s">
        <v>14</v>
      </c>
      <c r="H42" s="1" t="s">
        <v>18</v>
      </c>
      <c r="I42" s="4">
        <v>12</v>
      </c>
      <c r="J42" s="3" t="s">
        <v>16</v>
      </c>
      <c r="K42" s="5">
        <v>55.931079999999952</v>
      </c>
      <c r="L42" s="1">
        <v>285</v>
      </c>
      <c r="M42" s="1">
        <v>960</v>
      </c>
      <c r="N42" s="1">
        <v>122.137</v>
      </c>
      <c r="O42" s="1">
        <v>205.09899999999999</v>
      </c>
    </row>
    <row r="43" spans="1:15" x14ac:dyDescent="0.25">
      <c r="A43" s="1" t="s">
        <v>282</v>
      </c>
      <c r="B43" s="1" t="s">
        <v>71</v>
      </c>
      <c r="C43" s="1" t="s">
        <v>60</v>
      </c>
      <c r="D43" s="1">
        <v>0.93</v>
      </c>
      <c r="E43" s="1" t="s">
        <v>17</v>
      </c>
      <c r="F43" s="1" t="s">
        <v>13</v>
      </c>
      <c r="G43" s="1" t="s">
        <v>14</v>
      </c>
      <c r="H43" s="1" t="s">
        <v>18</v>
      </c>
      <c r="I43" s="4">
        <v>12</v>
      </c>
      <c r="J43" s="3" t="s">
        <v>16</v>
      </c>
      <c r="K43" s="5">
        <v>55.931079999999952</v>
      </c>
      <c r="L43" s="1">
        <v>285</v>
      </c>
      <c r="M43" s="1">
        <v>960</v>
      </c>
      <c r="N43" s="1">
        <v>117.476</v>
      </c>
      <c r="O43" s="1">
        <v>197.33600000000001</v>
      </c>
    </row>
    <row r="44" spans="1:15" x14ac:dyDescent="0.25">
      <c r="A44" s="1" t="s">
        <v>282</v>
      </c>
      <c r="B44" s="1" t="s">
        <v>72</v>
      </c>
      <c r="C44" s="1" t="s">
        <v>60</v>
      </c>
      <c r="D44" s="1">
        <v>0.93</v>
      </c>
      <c r="E44" s="1" t="s">
        <v>17</v>
      </c>
      <c r="F44" s="1" t="s">
        <v>13</v>
      </c>
      <c r="G44" s="1" t="s">
        <v>14</v>
      </c>
      <c r="H44" s="1" t="s">
        <v>18</v>
      </c>
      <c r="I44" s="4">
        <v>13</v>
      </c>
      <c r="J44" s="3" t="s">
        <v>16</v>
      </c>
      <c r="K44" s="5">
        <v>48.251680000000079</v>
      </c>
      <c r="L44" s="1">
        <v>285</v>
      </c>
      <c r="M44" s="1">
        <v>960</v>
      </c>
      <c r="N44" s="1">
        <v>111.21899999999999</v>
      </c>
      <c r="O44" s="1">
        <v>245.947</v>
      </c>
    </row>
    <row r="45" spans="1:15" x14ac:dyDescent="0.25">
      <c r="A45" s="1" t="s">
        <v>282</v>
      </c>
      <c r="B45" s="1" t="s">
        <v>72</v>
      </c>
      <c r="C45" s="1" t="s">
        <v>60</v>
      </c>
      <c r="D45" s="1">
        <v>0.93</v>
      </c>
      <c r="E45" s="1" t="s">
        <v>17</v>
      </c>
      <c r="F45" s="1" t="s">
        <v>13</v>
      </c>
      <c r="G45" s="1" t="s">
        <v>14</v>
      </c>
      <c r="H45" s="1" t="s">
        <v>18</v>
      </c>
      <c r="I45" s="4">
        <v>13</v>
      </c>
      <c r="J45" s="3" t="s">
        <v>16</v>
      </c>
      <c r="K45" s="5">
        <v>48.251680000000079</v>
      </c>
      <c r="L45" s="1">
        <v>285</v>
      </c>
      <c r="M45" s="1">
        <v>960</v>
      </c>
      <c r="N45" s="1">
        <v>116.246</v>
      </c>
      <c r="O45" s="1">
        <v>243.48699999999999</v>
      </c>
    </row>
    <row r="46" spans="1:15" x14ac:dyDescent="0.25">
      <c r="A46" s="1" t="s">
        <v>282</v>
      </c>
      <c r="B46" s="1" t="s">
        <v>73</v>
      </c>
      <c r="C46" s="1" t="s">
        <v>60</v>
      </c>
      <c r="D46" s="1">
        <v>0.93</v>
      </c>
      <c r="E46" s="1" t="s">
        <v>17</v>
      </c>
      <c r="F46" s="1" t="s">
        <v>13</v>
      </c>
      <c r="G46" s="1" t="s">
        <v>14</v>
      </c>
      <c r="H46" s="1" t="s">
        <v>18</v>
      </c>
      <c r="I46" s="4">
        <v>14</v>
      </c>
      <c r="J46" s="3" t="s">
        <v>16</v>
      </c>
      <c r="K46" s="5">
        <v>48.251680000000079</v>
      </c>
      <c r="L46" s="1">
        <v>285</v>
      </c>
      <c r="M46" s="1">
        <v>960</v>
      </c>
      <c r="N46" s="1">
        <v>110.821</v>
      </c>
      <c r="O46" s="1">
        <v>240.16</v>
      </c>
    </row>
    <row r="47" spans="1:15" x14ac:dyDescent="0.25">
      <c r="A47" s="1" t="s">
        <v>282</v>
      </c>
      <c r="B47" s="1" t="s">
        <v>73</v>
      </c>
      <c r="C47" s="1" t="s">
        <v>60</v>
      </c>
      <c r="D47" s="1">
        <v>0.93</v>
      </c>
      <c r="E47" s="1" t="s">
        <v>17</v>
      </c>
      <c r="F47" s="1" t="s">
        <v>13</v>
      </c>
      <c r="G47" s="1" t="s">
        <v>14</v>
      </c>
      <c r="H47" s="1" t="s">
        <v>18</v>
      </c>
      <c r="I47" s="4">
        <v>14</v>
      </c>
      <c r="J47" s="3" t="s">
        <v>16</v>
      </c>
      <c r="K47" s="5">
        <v>48.251680000000079</v>
      </c>
      <c r="L47" s="1">
        <v>285</v>
      </c>
      <c r="M47" s="1">
        <v>960</v>
      </c>
      <c r="N47" s="1">
        <v>107.58499999999999</v>
      </c>
      <c r="O47" s="1">
        <v>246.86799999999999</v>
      </c>
    </row>
    <row r="48" spans="1:15" x14ac:dyDescent="0.25">
      <c r="A48" s="1" t="s">
        <v>282</v>
      </c>
      <c r="B48" s="1" t="s">
        <v>74</v>
      </c>
      <c r="C48" s="1" t="s">
        <v>60</v>
      </c>
      <c r="D48" s="1">
        <v>0.93</v>
      </c>
      <c r="E48" s="1" t="s">
        <v>17</v>
      </c>
      <c r="F48" s="1" t="s">
        <v>13</v>
      </c>
      <c r="G48" s="1" t="s">
        <v>14</v>
      </c>
      <c r="H48" s="1" t="s">
        <v>18</v>
      </c>
      <c r="I48" s="4">
        <v>15</v>
      </c>
      <c r="J48" s="3" t="s">
        <v>16</v>
      </c>
      <c r="K48" s="5">
        <v>48.251680000000079</v>
      </c>
      <c r="L48" s="1">
        <v>285</v>
      </c>
      <c r="M48" s="1">
        <v>960</v>
      </c>
      <c r="N48" s="1">
        <v>111.789</v>
      </c>
      <c r="O48" s="1">
        <v>246.642</v>
      </c>
    </row>
    <row r="49" spans="1:15" x14ac:dyDescent="0.25">
      <c r="A49" s="1" t="s">
        <v>282</v>
      </c>
      <c r="B49" s="1" t="s">
        <v>74</v>
      </c>
      <c r="C49" s="1" t="s">
        <v>60</v>
      </c>
      <c r="D49" s="1">
        <v>0.93</v>
      </c>
      <c r="E49" s="1" t="s">
        <v>17</v>
      </c>
      <c r="F49" s="1" t="s">
        <v>13</v>
      </c>
      <c r="G49" s="1" t="s">
        <v>14</v>
      </c>
      <c r="H49" s="1" t="s">
        <v>18</v>
      </c>
      <c r="I49" s="4">
        <v>15</v>
      </c>
      <c r="J49" s="3" t="s">
        <v>16</v>
      </c>
      <c r="K49" s="5">
        <v>48.251680000000079</v>
      </c>
      <c r="L49" s="1">
        <v>285</v>
      </c>
      <c r="M49" s="1">
        <v>960</v>
      </c>
      <c r="N49" s="1">
        <v>112.251</v>
      </c>
      <c r="O49" s="1">
        <v>246.22300000000001</v>
      </c>
    </row>
    <row r="50" spans="1:15" x14ac:dyDescent="0.25">
      <c r="A50" s="1" t="s">
        <v>282</v>
      </c>
      <c r="B50" s="1" t="s">
        <v>75</v>
      </c>
      <c r="C50" s="1" t="s">
        <v>60</v>
      </c>
      <c r="D50" s="1">
        <v>0.93</v>
      </c>
      <c r="E50" s="1" t="s">
        <v>17</v>
      </c>
      <c r="F50" s="1" t="s">
        <v>13</v>
      </c>
      <c r="G50" s="1" t="s">
        <v>14</v>
      </c>
      <c r="H50" s="1" t="s">
        <v>18</v>
      </c>
      <c r="I50" s="4">
        <v>16</v>
      </c>
      <c r="J50" s="3" t="s">
        <v>16</v>
      </c>
      <c r="K50" s="5">
        <v>74.341280000000097</v>
      </c>
      <c r="L50" s="1">
        <v>285</v>
      </c>
      <c r="M50" s="1">
        <v>960</v>
      </c>
      <c r="N50" s="1">
        <v>138.83699999999999</v>
      </c>
      <c r="O50" s="1">
        <v>133.51300000000001</v>
      </c>
    </row>
    <row r="51" spans="1:15" x14ac:dyDescent="0.25">
      <c r="A51" s="1" t="s">
        <v>282</v>
      </c>
      <c r="B51" s="1" t="s">
        <v>75</v>
      </c>
      <c r="C51" s="1" t="s">
        <v>60</v>
      </c>
      <c r="D51" s="1">
        <v>0.93</v>
      </c>
      <c r="E51" s="1" t="s">
        <v>17</v>
      </c>
      <c r="F51" s="1" t="s">
        <v>13</v>
      </c>
      <c r="G51" s="1" t="s">
        <v>14</v>
      </c>
      <c r="H51" s="1" t="s">
        <v>18</v>
      </c>
      <c r="I51" s="4">
        <v>16</v>
      </c>
      <c r="J51" s="3" t="s">
        <v>16</v>
      </c>
      <c r="K51" s="5">
        <v>74.341280000000097</v>
      </c>
      <c r="L51" s="1">
        <v>285</v>
      </c>
      <c r="M51" s="1">
        <v>960</v>
      </c>
      <c r="N51" s="1">
        <v>134.18600000000001</v>
      </c>
      <c r="O51" s="1">
        <v>131.654</v>
      </c>
    </row>
    <row r="52" spans="1:15" x14ac:dyDescent="0.25">
      <c r="A52" s="1" t="s">
        <v>282</v>
      </c>
      <c r="B52" s="1" t="s">
        <v>76</v>
      </c>
      <c r="C52" s="1" t="s">
        <v>60</v>
      </c>
      <c r="D52" s="1">
        <v>0.93</v>
      </c>
      <c r="E52" s="1" t="s">
        <v>17</v>
      </c>
      <c r="F52" s="1" t="s">
        <v>13</v>
      </c>
      <c r="G52" s="1" t="s">
        <v>14</v>
      </c>
      <c r="H52" s="1" t="s">
        <v>18</v>
      </c>
      <c r="I52" s="4">
        <v>17</v>
      </c>
      <c r="J52" s="3" t="s">
        <v>16</v>
      </c>
      <c r="K52" s="5">
        <v>74.341280000000097</v>
      </c>
      <c r="L52" s="1">
        <v>285</v>
      </c>
      <c r="M52" s="1">
        <v>960</v>
      </c>
      <c r="N52" s="1">
        <v>129.27500000000001</v>
      </c>
      <c r="O52" s="1">
        <v>139.16399999999999</v>
      </c>
    </row>
    <row r="53" spans="1:15" x14ac:dyDescent="0.25">
      <c r="A53" s="1" t="s">
        <v>282</v>
      </c>
      <c r="B53" s="1" t="s">
        <v>76</v>
      </c>
      <c r="C53" s="1" t="s">
        <v>60</v>
      </c>
      <c r="D53" s="1">
        <v>0.93</v>
      </c>
      <c r="E53" s="1" t="s">
        <v>17</v>
      </c>
      <c r="F53" s="1" t="s">
        <v>13</v>
      </c>
      <c r="G53" s="1" t="s">
        <v>14</v>
      </c>
      <c r="H53" s="1" t="s">
        <v>18</v>
      </c>
      <c r="I53" s="4">
        <v>17</v>
      </c>
      <c r="J53" s="3" t="s">
        <v>16</v>
      </c>
      <c r="K53" s="5">
        <v>74.341280000000097</v>
      </c>
      <c r="L53" s="1">
        <v>285</v>
      </c>
      <c r="M53" s="1">
        <v>960</v>
      </c>
      <c r="N53" s="1">
        <v>127.675</v>
      </c>
      <c r="O53" s="1">
        <v>133.101</v>
      </c>
    </row>
    <row r="54" spans="1:15" x14ac:dyDescent="0.25">
      <c r="A54" s="1" t="s">
        <v>282</v>
      </c>
      <c r="B54" s="1" t="s">
        <v>77</v>
      </c>
      <c r="C54" s="1" t="s">
        <v>60</v>
      </c>
      <c r="D54" s="1">
        <v>0.93</v>
      </c>
      <c r="E54" s="1" t="s">
        <v>17</v>
      </c>
      <c r="F54" s="1" t="s">
        <v>13</v>
      </c>
      <c r="G54" s="1" t="s">
        <v>14</v>
      </c>
      <c r="H54" s="1" t="s">
        <v>18</v>
      </c>
      <c r="I54" s="4">
        <v>18</v>
      </c>
      <c r="J54" s="3" t="s">
        <v>16</v>
      </c>
      <c r="K54" s="5">
        <v>74.341280000000097</v>
      </c>
      <c r="L54" s="1">
        <v>285</v>
      </c>
      <c r="M54" s="1">
        <v>960</v>
      </c>
      <c r="N54" s="1">
        <v>134.27600000000001</v>
      </c>
      <c r="O54" s="1">
        <v>139.70099999999999</v>
      </c>
    </row>
    <row r="55" spans="1:15" x14ac:dyDescent="0.25">
      <c r="A55" s="1" t="s">
        <v>282</v>
      </c>
      <c r="B55" s="1" t="s">
        <v>77</v>
      </c>
      <c r="C55" s="1" t="s">
        <v>60</v>
      </c>
      <c r="D55" s="1">
        <v>0.93</v>
      </c>
      <c r="E55" s="1" t="s">
        <v>17</v>
      </c>
      <c r="F55" s="1" t="s">
        <v>13</v>
      </c>
      <c r="G55" s="1" t="s">
        <v>14</v>
      </c>
      <c r="H55" s="1" t="s">
        <v>18</v>
      </c>
      <c r="I55" s="4">
        <v>18</v>
      </c>
      <c r="J55" s="3" t="s">
        <v>16</v>
      </c>
      <c r="K55" s="5">
        <v>74.341280000000097</v>
      </c>
      <c r="L55" s="1">
        <v>285</v>
      </c>
      <c r="M55" s="1">
        <v>960</v>
      </c>
      <c r="N55" s="1">
        <v>136.18700000000001</v>
      </c>
      <c r="O55" s="1">
        <v>137.02099999999999</v>
      </c>
    </row>
    <row r="56" spans="1:15" x14ac:dyDescent="0.25">
      <c r="A56" s="1" t="s">
        <v>283</v>
      </c>
      <c r="B56" s="1" t="s">
        <v>78</v>
      </c>
      <c r="C56" s="1" t="s">
        <v>60</v>
      </c>
      <c r="D56" s="1">
        <v>0.93</v>
      </c>
      <c r="E56" s="1" t="s">
        <v>19</v>
      </c>
      <c r="F56" s="1" t="s">
        <v>13</v>
      </c>
      <c r="G56" s="1" t="s">
        <v>14</v>
      </c>
      <c r="H56" s="1" t="s">
        <v>18</v>
      </c>
      <c r="I56" s="4" t="s">
        <v>20</v>
      </c>
      <c r="J56" s="3" t="s">
        <v>21</v>
      </c>
      <c r="K56" s="5">
        <v>63.167443199999866</v>
      </c>
      <c r="L56" s="1">
        <v>285</v>
      </c>
      <c r="M56" s="1">
        <v>960</v>
      </c>
      <c r="N56" s="1">
        <v>133.571</v>
      </c>
      <c r="O56" s="1">
        <v>176.76599999999999</v>
      </c>
    </row>
    <row r="57" spans="1:15" x14ac:dyDescent="0.25">
      <c r="A57" s="1" t="s">
        <v>283</v>
      </c>
      <c r="B57" s="1" t="s">
        <v>79</v>
      </c>
      <c r="C57" s="1" t="s">
        <v>60</v>
      </c>
      <c r="D57" s="1">
        <v>0.93</v>
      </c>
      <c r="E57" s="1" t="s">
        <v>19</v>
      </c>
      <c r="F57" s="1" t="s">
        <v>13</v>
      </c>
      <c r="G57" s="1" t="s">
        <v>14</v>
      </c>
      <c r="H57" s="1" t="s">
        <v>18</v>
      </c>
      <c r="I57" s="4" t="s">
        <v>22</v>
      </c>
      <c r="J57" s="3" t="s">
        <v>21</v>
      </c>
      <c r="K57" s="5">
        <v>63.167443199999866</v>
      </c>
      <c r="L57" s="1">
        <v>285</v>
      </c>
      <c r="M57" s="1">
        <v>960</v>
      </c>
      <c r="N57" s="1">
        <v>126.30800000000001</v>
      </c>
      <c r="O57" s="1">
        <v>178.72300000000001</v>
      </c>
    </row>
    <row r="58" spans="1:15" x14ac:dyDescent="0.25">
      <c r="A58" s="1" t="s">
        <v>283</v>
      </c>
      <c r="B58" s="1" t="s">
        <v>80</v>
      </c>
      <c r="C58" s="1" t="s">
        <v>60</v>
      </c>
      <c r="D58" s="1">
        <v>0.93</v>
      </c>
      <c r="E58" s="1" t="s">
        <v>19</v>
      </c>
      <c r="F58" s="1" t="s">
        <v>13</v>
      </c>
      <c r="G58" s="1" t="s">
        <v>14</v>
      </c>
      <c r="H58" s="1" t="s">
        <v>18</v>
      </c>
      <c r="I58" s="4" t="s">
        <v>23</v>
      </c>
      <c r="J58" s="3" t="s">
        <v>21</v>
      </c>
      <c r="K58" s="5">
        <v>55.931079999999952</v>
      </c>
      <c r="L58" s="1">
        <v>285</v>
      </c>
      <c r="M58" s="1">
        <v>960</v>
      </c>
      <c r="N58" s="1">
        <v>117.223</v>
      </c>
      <c r="O58" s="1">
        <v>200.423</v>
      </c>
    </row>
    <row r="59" spans="1:15" x14ac:dyDescent="0.25">
      <c r="A59" s="1" t="s">
        <v>283</v>
      </c>
      <c r="B59" s="1" t="s">
        <v>81</v>
      </c>
      <c r="C59" s="1" t="s">
        <v>60</v>
      </c>
      <c r="D59" s="1">
        <v>0.93</v>
      </c>
      <c r="E59" s="1" t="s">
        <v>19</v>
      </c>
      <c r="F59" s="1" t="s">
        <v>13</v>
      </c>
      <c r="G59" s="1" t="s">
        <v>14</v>
      </c>
      <c r="H59" s="1" t="s">
        <v>18</v>
      </c>
      <c r="I59" s="4" t="s">
        <v>24</v>
      </c>
      <c r="J59" s="3" t="s">
        <v>21</v>
      </c>
      <c r="K59" s="5">
        <v>55.931079999999952</v>
      </c>
      <c r="L59" s="1">
        <v>285</v>
      </c>
      <c r="M59" s="1">
        <v>960</v>
      </c>
      <c r="N59" s="1">
        <v>117.95399999999999</v>
      </c>
      <c r="O59" s="1">
        <v>199.02699999999999</v>
      </c>
    </row>
    <row r="60" spans="1:15" x14ac:dyDescent="0.25">
      <c r="A60" s="1" t="s">
        <v>283</v>
      </c>
      <c r="B60" s="1" t="s">
        <v>82</v>
      </c>
      <c r="C60" s="1" t="s">
        <v>60</v>
      </c>
      <c r="D60" s="1">
        <v>0.93</v>
      </c>
      <c r="E60" s="1" t="s">
        <v>19</v>
      </c>
      <c r="F60" s="1" t="s">
        <v>13</v>
      </c>
      <c r="G60" s="1" t="s">
        <v>14</v>
      </c>
      <c r="H60" s="1" t="s">
        <v>18</v>
      </c>
      <c r="I60" s="4" t="s">
        <v>25</v>
      </c>
      <c r="J60" s="3" t="s">
        <v>21</v>
      </c>
      <c r="K60" s="5">
        <v>74.341280000000097</v>
      </c>
      <c r="L60" s="1">
        <v>285</v>
      </c>
      <c r="M60" s="1">
        <v>960</v>
      </c>
      <c r="N60" s="1">
        <v>145.86500000000001</v>
      </c>
      <c r="O60" s="1">
        <v>144.785</v>
      </c>
    </row>
    <row r="61" spans="1:15" x14ac:dyDescent="0.25">
      <c r="A61" s="1" t="s">
        <v>283</v>
      </c>
      <c r="B61" s="1" t="s">
        <v>83</v>
      </c>
      <c r="C61" s="1" t="s">
        <v>60</v>
      </c>
      <c r="D61" s="1">
        <v>0.93</v>
      </c>
      <c r="E61" s="1" t="s">
        <v>19</v>
      </c>
      <c r="F61" s="1" t="s">
        <v>13</v>
      </c>
      <c r="G61" s="1" t="s">
        <v>14</v>
      </c>
      <c r="H61" s="1" t="s">
        <v>18</v>
      </c>
      <c r="I61" s="4" t="s">
        <v>26</v>
      </c>
      <c r="J61" s="3" t="s">
        <v>21</v>
      </c>
      <c r="K61" s="5">
        <v>74.341280000000097</v>
      </c>
      <c r="L61" s="1">
        <v>285</v>
      </c>
      <c r="M61" s="1">
        <v>960</v>
      </c>
      <c r="N61" s="1">
        <v>143.80500000000001</v>
      </c>
      <c r="O61" s="1">
        <v>144.33600000000001</v>
      </c>
    </row>
    <row r="62" spans="1:15" x14ac:dyDescent="0.25">
      <c r="A62" s="1" t="s">
        <v>283</v>
      </c>
      <c r="B62" s="1" t="s">
        <v>78</v>
      </c>
      <c r="C62" s="1" t="s">
        <v>60</v>
      </c>
      <c r="D62" s="1">
        <v>0.93</v>
      </c>
      <c r="E62" s="1" t="s">
        <v>19</v>
      </c>
      <c r="F62" s="1" t="s">
        <v>13</v>
      </c>
      <c r="G62" s="1" t="s">
        <v>14</v>
      </c>
      <c r="H62" s="1" t="s">
        <v>18</v>
      </c>
      <c r="I62" s="4" t="s">
        <v>27</v>
      </c>
      <c r="J62" s="3" t="s">
        <v>21</v>
      </c>
      <c r="K62" s="5">
        <v>63.167443199999866</v>
      </c>
      <c r="L62" s="1">
        <v>285</v>
      </c>
      <c r="M62" s="1">
        <v>960</v>
      </c>
      <c r="N62" s="1">
        <v>135.232</v>
      </c>
      <c r="O62" s="1">
        <v>176.43299999999999</v>
      </c>
    </row>
    <row r="63" spans="1:15" x14ac:dyDescent="0.25">
      <c r="A63" s="1" t="s">
        <v>283</v>
      </c>
      <c r="B63" s="1" t="s">
        <v>79</v>
      </c>
      <c r="C63" s="1" t="s">
        <v>60</v>
      </c>
      <c r="D63" s="1">
        <v>0.93</v>
      </c>
      <c r="E63" s="1" t="s">
        <v>19</v>
      </c>
      <c r="F63" s="1" t="s">
        <v>13</v>
      </c>
      <c r="G63" s="1" t="s">
        <v>14</v>
      </c>
      <c r="H63" s="1" t="s">
        <v>18</v>
      </c>
      <c r="I63" s="4" t="s">
        <v>28</v>
      </c>
      <c r="J63" s="3" t="s">
        <v>21</v>
      </c>
      <c r="K63" s="5">
        <v>63.167443199999866</v>
      </c>
      <c r="L63" s="1">
        <v>285</v>
      </c>
      <c r="M63" s="1">
        <v>960</v>
      </c>
      <c r="N63" s="1">
        <v>128.91900000000001</v>
      </c>
      <c r="O63" s="1">
        <v>179.09100000000001</v>
      </c>
    </row>
    <row r="64" spans="1:15" x14ac:dyDescent="0.25">
      <c r="A64" s="1" t="s">
        <v>283</v>
      </c>
      <c r="B64" s="1" t="s">
        <v>80</v>
      </c>
      <c r="C64" s="1" t="s">
        <v>60</v>
      </c>
      <c r="D64" s="1">
        <v>0.93</v>
      </c>
      <c r="E64" s="1" t="s">
        <v>19</v>
      </c>
      <c r="F64" s="1" t="s">
        <v>13</v>
      </c>
      <c r="G64" s="1" t="s">
        <v>14</v>
      </c>
      <c r="H64" s="1" t="s">
        <v>18</v>
      </c>
      <c r="I64" s="4" t="s">
        <v>29</v>
      </c>
      <c r="J64" s="3" t="s">
        <v>21</v>
      </c>
      <c r="K64" s="5">
        <v>55.931079999999952</v>
      </c>
      <c r="L64" s="1">
        <v>285</v>
      </c>
      <c r="M64" s="1">
        <v>960</v>
      </c>
      <c r="N64" s="1">
        <v>113.74</v>
      </c>
      <c r="O64" s="1">
        <v>199.965</v>
      </c>
    </row>
    <row r="65" spans="1:15" x14ac:dyDescent="0.25">
      <c r="A65" s="1" t="s">
        <v>283</v>
      </c>
      <c r="B65" s="1" t="s">
        <v>81</v>
      </c>
      <c r="C65" s="1" t="s">
        <v>60</v>
      </c>
      <c r="D65" s="1">
        <v>0.93</v>
      </c>
      <c r="E65" s="1" t="s">
        <v>19</v>
      </c>
      <c r="F65" s="1" t="s">
        <v>13</v>
      </c>
      <c r="G65" s="1" t="s">
        <v>14</v>
      </c>
      <c r="H65" s="1" t="s">
        <v>18</v>
      </c>
      <c r="I65" s="4" t="s">
        <v>30</v>
      </c>
      <c r="J65" s="3" t="s">
        <v>21</v>
      </c>
      <c r="K65" s="5">
        <v>55.931079999999952</v>
      </c>
      <c r="L65" s="1">
        <v>285</v>
      </c>
      <c r="M65" s="1">
        <v>960</v>
      </c>
      <c r="N65" s="1">
        <v>113.036</v>
      </c>
      <c r="O65" s="1">
        <v>203.154</v>
      </c>
    </row>
    <row r="66" spans="1:15" x14ac:dyDescent="0.25">
      <c r="A66" s="1" t="s">
        <v>283</v>
      </c>
      <c r="B66" s="1" t="s">
        <v>82</v>
      </c>
      <c r="C66" s="1" t="s">
        <v>60</v>
      </c>
      <c r="D66" s="1">
        <v>0.93</v>
      </c>
      <c r="E66" s="1" t="s">
        <v>19</v>
      </c>
      <c r="F66" s="1" t="s">
        <v>13</v>
      </c>
      <c r="G66" s="1" t="s">
        <v>14</v>
      </c>
      <c r="H66" s="1" t="s">
        <v>18</v>
      </c>
      <c r="I66" s="4" t="s">
        <v>31</v>
      </c>
      <c r="J66" s="3" t="s">
        <v>21</v>
      </c>
      <c r="K66" s="5">
        <v>74.341280000000097</v>
      </c>
      <c r="L66" s="1">
        <v>285</v>
      </c>
      <c r="M66" s="1">
        <v>960</v>
      </c>
      <c r="N66" s="1">
        <v>149.06800000000001</v>
      </c>
      <c r="O66" s="1">
        <v>142.05000000000001</v>
      </c>
    </row>
    <row r="67" spans="1:15" x14ac:dyDescent="0.25">
      <c r="A67" s="1" t="s">
        <v>283</v>
      </c>
      <c r="B67" s="1" t="s">
        <v>83</v>
      </c>
      <c r="C67" s="1" t="s">
        <v>60</v>
      </c>
      <c r="D67" s="1">
        <v>0.93</v>
      </c>
      <c r="E67" s="1" t="s">
        <v>19</v>
      </c>
      <c r="F67" s="1" t="s">
        <v>13</v>
      </c>
      <c r="G67" s="1" t="s">
        <v>14</v>
      </c>
      <c r="H67" s="1" t="s">
        <v>18</v>
      </c>
      <c r="I67" s="4" t="s">
        <v>32</v>
      </c>
      <c r="J67" s="3" t="s">
        <v>21</v>
      </c>
      <c r="K67" s="5">
        <v>74.341280000000097</v>
      </c>
      <c r="L67" s="1">
        <v>285</v>
      </c>
      <c r="M67" s="1">
        <v>960</v>
      </c>
      <c r="N67" s="1">
        <v>143.53899999999999</v>
      </c>
      <c r="O67" s="1">
        <v>141.41200000000001</v>
      </c>
    </row>
    <row r="68" spans="1:15" x14ac:dyDescent="0.25">
      <c r="A68" s="1" t="s">
        <v>283</v>
      </c>
      <c r="B68" s="1" t="s">
        <v>85</v>
      </c>
      <c r="C68" s="1" t="s">
        <v>60</v>
      </c>
      <c r="D68" s="1">
        <v>0.93</v>
      </c>
      <c r="E68" s="1" t="s">
        <v>19</v>
      </c>
      <c r="F68" s="1" t="s">
        <v>13</v>
      </c>
      <c r="G68" s="1" t="s">
        <v>14</v>
      </c>
      <c r="H68" s="1" t="s">
        <v>18</v>
      </c>
      <c r="I68" s="4" t="s">
        <v>33</v>
      </c>
      <c r="J68" s="3" t="s">
        <v>21</v>
      </c>
      <c r="K68" s="5">
        <v>63.167443199999866</v>
      </c>
      <c r="L68" s="1">
        <v>285</v>
      </c>
      <c r="M68" s="1">
        <v>960</v>
      </c>
      <c r="N68" s="1">
        <v>123.97499999999999</v>
      </c>
      <c r="O68" s="1">
        <v>178.839</v>
      </c>
    </row>
    <row r="69" spans="1:15" x14ac:dyDescent="0.25">
      <c r="A69" s="1" t="s">
        <v>283</v>
      </c>
      <c r="B69" s="1" t="s">
        <v>86</v>
      </c>
      <c r="C69" s="1" t="s">
        <v>60</v>
      </c>
      <c r="D69" s="1">
        <v>0.93</v>
      </c>
      <c r="E69" s="1" t="s">
        <v>19</v>
      </c>
      <c r="F69" s="1" t="s">
        <v>13</v>
      </c>
      <c r="G69" s="1" t="s">
        <v>14</v>
      </c>
      <c r="H69" s="1" t="s">
        <v>18</v>
      </c>
      <c r="I69" s="4" t="s">
        <v>34</v>
      </c>
      <c r="J69" s="3" t="s">
        <v>21</v>
      </c>
      <c r="K69" s="5">
        <v>63.167443199999866</v>
      </c>
      <c r="L69" s="1">
        <v>285</v>
      </c>
      <c r="M69" s="1">
        <v>960</v>
      </c>
      <c r="N69" s="1">
        <v>124.235</v>
      </c>
      <c r="O69" s="1">
        <v>179.756</v>
      </c>
    </row>
    <row r="70" spans="1:15" x14ac:dyDescent="0.25">
      <c r="A70" s="1" t="s">
        <v>283</v>
      </c>
      <c r="B70" s="1" t="s">
        <v>87</v>
      </c>
      <c r="C70" s="1" t="s">
        <v>60</v>
      </c>
      <c r="D70" s="1">
        <v>0.93</v>
      </c>
      <c r="E70" s="1" t="s">
        <v>19</v>
      </c>
      <c r="F70" s="1" t="s">
        <v>13</v>
      </c>
      <c r="G70" s="1" t="s">
        <v>14</v>
      </c>
      <c r="H70" s="1" t="s">
        <v>18</v>
      </c>
      <c r="I70" s="4" t="s">
        <v>35</v>
      </c>
      <c r="J70" s="3" t="s">
        <v>21</v>
      </c>
      <c r="K70" s="5">
        <v>55.931079999999952</v>
      </c>
      <c r="L70" s="1">
        <v>285</v>
      </c>
      <c r="M70" s="1">
        <v>960</v>
      </c>
      <c r="N70" s="1">
        <v>110.84399999999999</v>
      </c>
      <c r="O70" s="1">
        <v>206.27099999999999</v>
      </c>
    </row>
    <row r="71" spans="1:15" x14ac:dyDescent="0.25">
      <c r="A71" s="1" t="s">
        <v>283</v>
      </c>
      <c r="B71" s="1" t="s">
        <v>88</v>
      </c>
      <c r="C71" s="1" t="s">
        <v>60</v>
      </c>
      <c r="D71" s="1">
        <v>0.93</v>
      </c>
      <c r="E71" s="1" t="s">
        <v>19</v>
      </c>
      <c r="F71" s="1" t="s">
        <v>13</v>
      </c>
      <c r="G71" s="1" t="s">
        <v>14</v>
      </c>
      <c r="H71" s="1" t="s">
        <v>18</v>
      </c>
      <c r="I71" s="4" t="s">
        <v>36</v>
      </c>
      <c r="J71" s="3" t="s">
        <v>21</v>
      </c>
      <c r="K71" s="5">
        <v>55.931079999999952</v>
      </c>
      <c r="L71" s="1">
        <v>285</v>
      </c>
      <c r="M71" s="1">
        <v>960</v>
      </c>
      <c r="N71" s="1">
        <v>109.36</v>
      </c>
      <c r="O71" s="1">
        <v>205.90100000000001</v>
      </c>
    </row>
    <row r="72" spans="1:15" x14ac:dyDescent="0.25">
      <c r="A72" s="1" t="s">
        <v>283</v>
      </c>
      <c r="B72" s="1" t="s">
        <v>84</v>
      </c>
      <c r="C72" s="1" t="s">
        <v>60</v>
      </c>
      <c r="D72" s="1">
        <v>0.93</v>
      </c>
      <c r="E72" s="1" t="s">
        <v>19</v>
      </c>
      <c r="F72" s="1" t="s">
        <v>13</v>
      </c>
      <c r="G72" s="1" t="s">
        <v>14</v>
      </c>
      <c r="H72" s="1" t="s">
        <v>18</v>
      </c>
      <c r="I72" s="4" t="s">
        <v>37</v>
      </c>
      <c r="J72" s="3" t="s">
        <v>21</v>
      </c>
      <c r="K72" s="5">
        <v>74.341280000000097</v>
      </c>
      <c r="L72" s="1">
        <v>285</v>
      </c>
      <c r="M72" s="1">
        <v>960</v>
      </c>
      <c r="N72" s="1">
        <v>141.59399999999999</v>
      </c>
      <c r="O72" s="1">
        <v>150.624</v>
      </c>
    </row>
    <row r="73" spans="1:15" x14ac:dyDescent="0.25">
      <c r="A73" s="1" t="s">
        <v>283</v>
      </c>
      <c r="B73" s="1" t="s">
        <v>89</v>
      </c>
      <c r="C73" s="1" t="s">
        <v>60</v>
      </c>
      <c r="D73" s="1">
        <v>0.93</v>
      </c>
      <c r="E73" s="1" t="s">
        <v>19</v>
      </c>
      <c r="F73" s="1" t="s">
        <v>13</v>
      </c>
      <c r="G73" s="1" t="s">
        <v>14</v>
      </c>
      <c r="H73" s="1" t="s">
        <v>18</v>
      </c>
      <c r="I73" s="4" t="s">
        <v>38</v>
      </c>
      <c r="J73" s="3" t="s">
        <v>21</v>
      </c>
      <c r="K73" s="5">
        <v>74.341280000000097</v>
      </c>
      <c r="L73" s="1">
        <v>285</v>
      </c>
      <c r="M73" s="1">
        <v>960</v>
      </c>
      <c r="N73" s="1">
        <v>147.37299999999999</v>
      </c>
      <c r="O73" s="1">
        <v>147.6</v>
      </c>
    </row>
    <row r="74" spans="1:15" x14ac:dyDescent="0.25">
      <c r="A74" s="1" t="s">
        <v>108</v>
      </c>
      <c r="B74" s="1" t="s">
        <v>90</v>
      </c>
      <c r="C74" s="1" t="s">
        <v>60</v>
      </c>
      <c r="D74" s="1">
        <v>0.186</v>
      </c>
      <c r="E74" s="1" t="s">
        <v>40</v>
      </c>
      <c r="F74" s="1" t="s">
        <v>48</v>
      </c>
      <c r="G74" s="1" t="s">
        <v>14</v>
      </c>
      <c r="H74" s="1" t="s">
        <v>18</v>
      </c>
      <c r="I74" s="1">
        <v>0</v>
      </c>
      <c r="J74" s="3" t="s">
        <v>16</v>
      </c>
      <c r="K74" s="1">
        <v>50</v>
      </c>
      <c r="L74" s="1">
        <v>195</v>
      </c>
      <c r="M74" s="1">
        <v>800</v>
      </c>
      <c r="N74" s="1">
        <v>105.795</v>
      </c>
      <c r="O74" s="1">
        <v>150.917</v>
      </c>
    </row>
    <row r="75" spans="1:15" x14ac:dyDescent="0.25">
      <c r="A75" s="1" t="s">
        <v>108</v>
      </c>
      <c r="B75" s="1" t="s">
        <v>91</v>
      </c>
      <c r="C75" s="1" t="s">
        <v>60</v>
      </c>
      <c r="D75" s="1">
        <v>0.186</v>
      </c>
      <c r="E75" s="1" t="s">
        <v>40</v>
      </c>
      <c r="F75" s="1" t="s">
        <v>48</v>
      </c>
      <c r="G75" s="1" t="s">
        <v>14</v>
      </c>
      <c r="H75" s="1" t="s">
        <v>18</v>
      </c>
      <c r="I75" s="1">
        <v>1</v>
      </c>
      <c r="J75" s="3" t="s">
        <v>16</v>
      </c>
      <c r="K75" s="1">
        <v>50</v>
      </c>
      <c r="L75" s="1">
        <v>195</v>
      </c>
      <c r="M75" s="1">
        <v>800</v>
      </c>
      <c r="N75" s="1">
        <v>106.687</v>
      </c>
      <c r="O75" s="1">
        <v>159.96700000000001</v>
      </c>
    </row>
    <row r="76" spans="1:15" x14ac:dyDescent="0.25">
      <c r="A76" s="1" t="s">
        <v>108</v>
      </c>
      <c r="B76" s="1" t="s">
        <v>92</v>
      </c>
      <c r="C76" s="1" t="s">
        <v>60</v>
      </c>
      <c r="D76" s="1">
        <v>0.186</v>
      </c>
      <c r="E76" s="1" t="s">
        <v>40</v>
      </c>
      <c r="F76" s="1" t="s">
        <v>48</v>
      </c>
      <c r="G76" s="1" t="s">
        <v>14</v>
      </c>
      <c r="H76" s="1" t="s">
        <v>18</v>
      </c>
      <c r="I76" s="1">
        <v>2</v>
      </c>
      <c r="J76" s="3" t="s">
        <v>16</v>
      </c>
      <c r="K76" s="1">
        <v>50</v>
      </c>
      <c r="L76" s="1">
        <v>180</v>
      </c>
      <c r="M76" s="1">
        <v>800</v>
      </c>
      <c r="N76" s="1">
        <v>107.452</v>
      </c>
      <c r="O76" s="1">
        <v>143.142</v>
      </c>
    </row>
    <row r="77" spans="1:15" x14ac:dyDescent="0.25">
      <c r="A77" s="1" t="s">
        <v>108</v>
      </c>
      <c r="B77" s="1" t="s">
        <v>93</v>
      </c>
      <c r="C77" s="1" t="s">
        <v>60</v>
      </c>
      <c r="D77" s="1">
        <v>0.186</v>
      </c>
      <c r="E77" s="1" t="s">
        <v>40</v>
      </c>
      <c r="F77" s="1" t="s">
        <v>48</v>
      </c>
      <c r="G77" s="1" t="s">
        <v>14</v>
      </c>
      <c r="H77" s="1" t="s">
        <v>18</v>
      </c>
      <c r="I77" s="1">
        <v>3</v>
      </c>
      <c r="J77" s="3" t="s">
        <v>16</v>
      </c>
      <c r="K77" s="1">
        <v>80</v>
      </c>
      <c r="L77" s="1">
        <v>195</v>
      </c>
      <c r="M77" s="1">
        <v>800</v>
      </c>
      <c r="N77" s="1">
        <v>139.06299999999999</v>
      </c>
      <c r="O77" s="1">
        <v>95.087999999999994</v>
      </c>
    </row>
    <row r="78" spans="1:15" x14ac:dyDescent="0.25">
      <c r="A78" s="1" t="s">
        <v>108</v>
      </c>
      <c r="B78" s="1" t="s">
        <v>94</v>
      </c>
      <c r="C78" s="1" t="s">
        <v>60</v>
      </c>
      <c r="D78" s="1">
        <v>0.186</v>
      </c>
      <c r="E78" s="1" t="s">
        <v>40</v>
      </c>
      <c r="F78" s="1" t="s">
        <v>48</v>
      </c>
      <c r="G78" s="1" t="s">
        <v>14</v>
      </c>
      <c r="H78" s="1" t="s">
        <v>18</v>
      </c>
      <c r="I78" s="1">
        <v>4</v>
      </c>
      <c r="J78" s="3" t="s">
        <v>16</v>
      </c>
      <c r="K78" s="1">
        <v>80</v>
      </c>
      <c r="L78" s="1">
        <v>180</v>
      </c>
      <c r="M78" s="1">
        <v>800</v>
      </c>
      <c r="N78" s="1">
        <v>134.34700000000001</v>
      </c>
      <c r="O78" s="1">
        <v>85.018000000000001</v>
      </c>
    </row>
    <row r="79" spans="1:15" x14ac:dyDescent="0.25">
      <c r="A79" s="1" t="s">
        <v>108</v>
      </c>
      <c r="B79" s="1" t="s">
        <v>95</v>
      </c>
      <c r="C79" s="1" t="s">
        <v>60</v>
      </c>
      <c r="D79" s="1">
        <v>0.186</v>
      </c>
      <c r="E79" s="1" t="s">
        <v>40</v>
      </c>
      <c r="F79" s="1" t="s">
        <v>48</v>
      </c>
      <c r="G79" s="1" t="s">
        <v>14</v>
      </c>
      <c r="H79" s="1" t="s">
        <v>18</v>
      </c>
      <c r="I79" s="1">
        <v>5</v>
      </c>
      <c r="J79" s="3" t="s">
        <v>16</v>
      </c>
      <c r="K79" s="1">
        <v>122</v>
      </c>
      <c r="L79" s="1">
        <v>195</v>
      </c>
      <c r="M79" s="1">
        <v>800</v>
      </c>
      <c r="N79" s="1">
        <v>122.74299999999999</v>
      </c>
      <c r="O79" s="1">
        <v>50.603000000000002</v>
      </c>
    </row>
    <row r="80" spans="1:15" x14ac:dyDescent="0.25">
      <c r="A80" s="1" t="s">
        <v>108</v>
      </c>
      <c r="B80" s="1" t="s">
        <v>96</v>
      </c>
      <c r="C80" s="1" t="s">
        <v>60</v>
      </c>
      <c r="D80" s="1">
        <v>0.186</v>
      </c>
      <c r="E80" s="1" t="s">
        <v>40</v>
      </c>
      <c r="F80" s="1" t="s">
        <v>48</v>
      </c>
      <c r="G80" s="1" t="s">
        <v>14</v>
      </c>
      <c r="H80" s="1" t="s">
        <v>18</v>
      </c>
      <c r="I80" s="1">
        <v>6</v>
      </c>
      <c r="J80" s="3" t="s">
        <v>16</v>
      </c>
      <c r="K80" s="1">
        <v>122</v>
      </c>
      <c r="L80" s="1">
        <v>180</v>
      </c>
      <c r="M80" s="1">
        <v>800</v>
      </c>
      <c r="N80" s="1">
        <v>110.384</v>
      </c>
      <c r="O80" s="1">
        <v>44.866999999999997</v>
      </c>
    </row>
    <row r="81" spans="1:15" x14ac:dyDescent="0.25">
      <c r="A81" s="1" t="s">
        <v>108</v>
      </c>
      <c r="B81" s="1" t="s">
        <v>97</v>
      </c>
      <c r="C81" s="1" t="s">
        <v>60</v>
      </c>
      <c r="D81" s="1">
        <v>0.186</v>
      </c>
      <c r="E81" s="1" t="s">
        <v>40</v>
      </c>
      <c r="F81" s="1" t="s">
        <v>48</v>
      </c>
      <c r="G81" s="1" t="s">
        <v>14</v>
      </c>
      <c r="H81" s="1" t="s">
        <v>18</v>
      </c>
      <c r="I81" s="1">
        <v>7</v>
      </c>
      <c r="J81" s="3" t="s">
        <v>16</v>
      </c>
      <c r="K81" s="1">
        <v>144</v>
      </c>
      <c r="L81" s="1">
        <v>195</v>
      </c>
      <c r="M81" s="1">
        <v>800</v>
      </c>
      <c r="N81" s="1">
        <v>123.38500000000001</v>
      </c>
      <c r="O81" s="1">
        <v>41.936</v>
      </c>
    </row>
    <row r="82" spans="1:15" x14ac:dyDescent="0.25">
      <c r="A82" s="1" t="s">
        <v>108</v>
      </c>
      <c r="B82" s="1" t="s">
        <v>98</v>
      </c>
      <c r="C82" s="1" t="s">
        <v>60</v>
      </c>
      <c r="D82" s="1">
        <v>0.186</v>
      </c>
      <c r="E82" s="1" t="s">
        <v>40</v>
      </c>
      <c r="F82" s="1" t="s">
        <v>48</v>
      </c>
      <c r="G82" s="1" t="s">
        <v>14</v>
      </c>
      <c r="H82" s="1" t="s">
        <v>18</v>
      </c>
      <c r="I82" s="1">
        <v>8</v>
      </c>
      <c r="J82" s="3" t="s">
        <v>16</v>
      </c>
      <c r="K82" s="1">
        <v>144</v>
      </c>
      <c r="L82" s="1">
        <v>180</v>
      </c>
      <c r="M82" s="1">
        <v>800</v>
      </c>
      <c r="N82" s="1">
        <v>119.434</v>
      </c>
      <c r="O82" s="1">
        <v>40.661000000000001</v>
      </c>
    </row>
    <row r="83" spans="1:15" x14ac:dyDescent="0.25">
      <c r="A83" s="1" t="s">
        <v>108</v>
      </c>
      <c r="B83" s="1" t="s">
        <v>99</v>
      </c>
      <c r="C83" s="1" t="s">
        <v>60</v>
      </c>
      <c r="D83" s="1">
        <v>0.186</v>
      </c>
      <c r="E83" s="1" t="s">
        <v>40</v>
      </c>
      <c r="F83" s="1" t="s">
        <v>48</v>
      </c>
      <c r="G83" s="1" t="s">
        <v>14</v>
      </c>
      <c r="H83" s="1" t="s">
        <v>18</v>
      </c>
      <c r="I83" s="1">
        <v>9</v>
      </c>
      <c r="J83" s="3" t="s">
        <v>16</v>
      </c>
      <c r="K83" s="1">
        <v>167</v>
      </c>
      <c r="L83" s="1">
        <v>195</v>
      </c>
      <c r="M83" s="1">
        <v>800</v>
      </c>
      <c r="N83" s="1">
        <v>137.916</v>
      </c>
      <c r="O83" s="1">
        <v>37.984000000000002</v>
      </c>
    </row>
    <row r="84" spans="1:15" x14ac:dyDescent="0.25">
      <c r="A84" s="1" t="s">
        <v>108</v>
      </c>
      <c r="B84" s="1" t="s">
        <v>100</v>
      </c>
      <c r="C84" s="1" t="s">
        <v>60</v>
      </c>
      <c r="D84" s="1">
        <v>0.186</v>
      </c>
      <c r="E84" s="1" t="s">
        <v>40</v>
      </c>
      <c r="F84" s="1" t="s">
        <v>48</v>
      </c>
      <c r="G84" s="1" t="s">
        <v>14</v>
      </c>
      <c r="H84" s="1" t="s">
        <v>18</v>
      </c>
      <c r="I84" s="1">
        <v>10</v>
      </c>
      <c r="J84" s="3" t="s">
        <v>16</v>
      </c>
      <c r="K84" s="1">
        <v>167</v>
      </c>
      <c r="L84" s="1">
        <v>180</v>
      </c>
      <c r="M84" s="1">
        <v>800</v>
      </c>
      <c r="N84" s="1">
        <v>133.965</v>
      </c>
      <c r="O84" s="1">
        <v>37.347000000000001</v>
      </c>
    </row>
    <row r="85" spans="1:15" x14ac:dyDescent="0.25">
      <c r="A85" s="1" t="s">
        <v>108</v>
      </c>
      <c r="B85" s="1" t="s">
        <v>101</v>
      </c>
      <c r="C85" s="1" t="s">
        <v>60</v>
      </c>
      <c r="D85" s="1">
        <v>0.186</v>
      </c>
      <c r="E85" s="1" t="s">
        <v>40</v>
      </c>
      <c r="F85" s="1" t="s">
        <v>48</v>
      </c>
      <c r="G85" s="1" t="s">
        <v>14</v>
      </c>
      <c r="H85" s="1" t="s">
        <v>18</v>
      </c>
      <c r="I85" s="1">
        <v>11</v>
      </c>
      <c r="J85" s="3" t="s">
        <v>16</v>
      </c>
      <c r="K85" s="1">
        <v>211</v>
      </c>
      <c r="L85" s="1">
        <v>195</v>
      </c>
      <c r="M85" s="1">
        <v>800</v>
      </c>
      <c r="N85" s="1">
        <v>156.398</v>
      </c>
      <c r="O85" s="1">
        <v>32.886000000000003</v>
      </c>
    </row>
    <row r="86" spans="1:15" x14ac:dyDescent="0.25">
      <c r="A86" s="1" t="s">
        <v>108</v>
      </c>
      <c r="B86" s="1" t="s">
        <v>102</v>
      </c>
      <c r="C86" s="1" t="s">
        <v>60</v>
      </c>
      <c r="D86" s="1">
        <v>0.186</v>
      </c>
      <c r="E86" s="1" t="s">
        <v>40</v>
      </c>
      <c r="F86" s="1" t="s">
        <v>48</v>
      </c>
      <c r="G86" s="1" t="s">
        <v>14</v>
      </c>
      <c r="H86" s="1" t="s">
        <v>18</v>
      </c>
      <c r="I86" s="1">
        <v>12</v>
      </c>
      <c r="J86" s="3" t="s">
        <v>16</v>
      </c>
      <c r="K86" s="1">
        <v>211</v>
      </c>
      <c r="L86" s="1">
        <v>180</v>
      </c>
      <c r="M86" s="1">
        <v>800</v>
      </c>
      <c r="N86" s="1">
        <v>151.04499999999999</v>
      </c>
      <c r="O86" s="1">
        <v>30.335999999999999</v>
      </c>
    </row>
    <row r="87" spans="1:15" x14ac:dyDescent="0.25">
      <c r="A87" s="1" t="s">
        <v>108</v>
      </c>
      <c r="B87" s="1" t="s">
        <v>103</v>
      </c>
      <c r="C87" s="1" t="s">
        <v>60</v>
      </c>
      <c r="D87" s="1">
        <v>0.186</v>
      </c>
      <c r="E87" s="1" t="s">
        <v>40</v>
      </c>
      <c r="F87" s="1" t="s">
        <v>48</v>
      </c>
      <c r="G87" s="1" t="s">
        <v>14</v>
      </c>
      <c r="H87" s="1" t="s">
        <v>18</v>
      </c>
      <c r="I87" s="1">
        <v>13</v>
      </c>
      <c r="J87" s="3" t="s">
        <v>16</v>
      </c>
      <c r="K87" s="1">
        <v>256</v>
      </c>
      <c r="L87" s="1">
        <v>195</v>
      </c>
      <c r="M87" s="1">
        <v>800</v>
      </c>
      <c r="N87" s="1">
        <v>170.547</v>
      </c>
      <c r="O87" s="1">
        <v>29.699000000000002</v>
      </c>
    </row>
    <row r="88" spans="1:15" x14ac:dyDescent="0.25">
      <c r="A88" s="1" t="s">
        <v>108</v>
      </c>
      <c r="B88" s="1" t="s">
        <v>104</v>
      </c>
      <c r="C88" s="1" t="s">
        <v>60</v>
      </c>
      <c r="D88" s="1">
        <v>0.186</v>
      </c>
      <c r="E88" s="1" t="s">
        <v>40</v>
      </c>
      <c r="F88" s="1" t="s">
        <v>48</v>
      </c>
      <c r="G88" s="1" t="s">
        <v>14</v>
      </c>
      <c r="H88" s="1" t="s">
        <v>18</v>
      </c>
      <c r="I88" s="1">
        <v>14</v>
      </c>
      <c r="J88" s="3" t="s">
        <v>16</v>
      </c>
      <c r="K88" s="1">
        <v>256</v>
      </c>
      <c r="L88" s="1">
        <v>180</v>
      </c>
      <c r="M88" s="1">
        <v>800</v>
      </c>
      <c r="N88" s="1">
        <v>168.762</v>
      </c>
      <c r="O88" s="1">
        <v>28.934000000000001</v>
      </c>
    </row>
    <row r="89" spans="1:15" x14ac:dyDescent="0.25">
      <c r="A89" s="1" t="s">
        <v>108</v>
      </c>
      <c r="B89" s="1" t="s">
        <v>105</v>
      </c>
      <c r="C89" s="1" t="s">
        <v>60</v>
      </c>
      <c r="D89" s="1">
        <v>0.186</v>
      </c>
      <c r="E89" s="1" t="s">
        <v>40</v>
      </c>
      <c r="F89" s="1" t="s">
        <v>48</v>
      </c>
      <c r="G89" s="1" t="s">
        <v>14</v>
      </c>
      <c r="H89" s="1" t="s">
        <v>18</v>
      </c>
      <c r="I89" s="1">
        <v>15</v>
      </c>
      <c r="J89" s="3" t="s">
        <v>16</v>
      </c>
      <c r="K89" s="1">
        <v>167</v>
      </c>
      <c r="L89" s="1">
        <v>195</v>
      </c>
      <c r="M89" s="1">
        <v>800</v>
      </c>
      <c r="N89" s="1">
        <v>138.04300000000001</v>
      </c>
      <c r="O89" s="1">
        <v>38.494</v>
      </c>
    </row>
    <row r="90" spans="1:15" x14ac:dyDescent="0.25">
      <c r="A90" s="1" t="s">
        <v>108</v>
      </c>
      <c r="B90" s="1" t="s">
        <v>106</v>
      </c>
      <c r="C90" s="1" t="s">
        <v>60</v>
      </c>
      <c r="D90" s="1">
        <v>0.186</v>
      </c>
      <c r="E90" s="1" t="s">
        <v>40</v>
      </c>
      <c r="F90" s="1" t="s">
        <v>48</v>
      </c>
      <c r="G90" s="1" t="s">
        <v>14</v>
      </c>
      <c r="H90" s="1" t="s">
        <v>18</v>
      </c>
      <c r="I90" s="1">
        <v>16</v>
      </c>
      <c r="J90" s="3" t="s">
        <v>16</v>
      </c>
      <c r="K90" s="1">
        <v>167</v>
      </c>
      <c r="L90" s="1">
        <v>180</v>
      </c>
      <c r="M90" s="1">
        <v>800</v>
      </c>
      <c r="N90" s="1">
        <v>135.36699999999999</v>
      </c>
      <c r="O90" s="1">
        <v>36.200000000000003</v>
      </c>
    </row>
    <row r="91" spans="1:15" x14ac:dyDescent="0.25">
      <c r="A91" s="1" t="s">
        <v>108</v>
      </c>
      <c r="B91" s="1" t="s">
        <v>125</v>
      </c>
      <c r="C91" s="1" t="s">
        <v>60</v>
      </c>
      <c r="D91" s="1">
        <v>0.186</v>
      </c>
      <c r="E91" s="1" t="s">
        <v>41</v>
      </c>
      <c r="F91" s="1" t="s">
        <v>48</v>
      </c>
      <c r="G91" s="1" t="s">
        <v>14</v>
      </c>
      <c r="H91" s="1" t="s">
        <v>18</v>
      </c>
      <c r="I91" s="1">
        <v>0</v>
      </c>
      <c r="J91" s="3" t="s">
        <v>16</v>
      </c>
      <c r="K91" s="1">
        <v>50</v>
      </c>
      <c r="L91" s="1">
        <v>195</v>
      </c>
      <c r="M91" s="1">
        <v>800</v>
      </c>
      <c r="N91" s="1">
        <v>102.736</v>
      </c>
      <c r="O91" s="1">
        <v>150.535</v>
      </c>
    </row>
    <row r="92" spans="1:15" x14ac:dyDescent="0.25">
      <c r="A92" s="1" t="s">
        <v>108</v>
      </c>
      <c r="B92" s="1" t="s">
        <v>110</v>
      </c>
      <c r="C92" s="1" t="s">
        <v>60</v>
      </c>
      <c r="D92" s="1">
        <v>0.186</v>
      </c>
      <c r="E92" s="1" t="s">
        <v>41</v>
      </c>
      <c r="F92" s="1" t="s">
        <v>48</v>
      </c>
      <c r="G92" s="1" t="s">
        <v>14</v>
      </c>
      <c r="H92" s="1" t="s">
        <v>18</v>
      </c>
      <c r="I92" s="1">
        <v>1</v>
      </c>
      <c r="J92" s="3" t="s">
        <v>16</v>
      </c>
      <c r="K92" s="1">
        <v>50</v>
      </c>
      <c r="L92" s="1">
        <v>195</v>
      </c>
      <c r="M92" s="1">
        <v>800</v>
      </c>
      <c r="N92" s="1">
        <v>106.94199999999999</v>
      </c>
      <c r="O92" s="1">
        <v>155.63300000000001</v>
      </c>
    </row>
    <row r="93" spans="1:15" x14ac:dyDescent="0.25">
      <c r="A93" s="1" t="s">
        <v>108</v>
      </c>
      <c r="B93" s="1" t="s">
        <v>111</v>
      </c>
      <c r="C93" s="1" t="s">
        <v>60</v>
      </c>
      <c r="D93" s="1">
        <v>0.186</v>
      </c>
      <c r="E93" s="1" t="s">
        <v>41</v>
      </c>
      <c r="F93" s="1" t="s">
        <v>48</v>
      </c>
      <c r="G93" s="1" t="s">
        <v>14</v>
      </c>
      <c r="H93" s="1" t="s">
        <v>18</v>
      </c>
      <c r="I93" s="1">
        <v>2</v>
      </c>
      <c r="J93" s="3" t="s">
        <v>16</v>
      </c>
      <c r="K93" s="1">
        <v>50</v>
      </c>
      <c r="L93" s="1">
        <v>180</v>
      </c>
      <c r="M93" s="1">
        <v>800</v>
      </c>
      <c r="N93" s="1">
        <v>107.70699999999999</v>
      </c>
      <c r="O93" s="1">
        <v>138.298</v>
      </c>
    </row>
    <row r="94" spans="1:15" x14ac:dyDescent="0.25">
      <c r="A94" s="1" t="s">
        <v>108</v>
      </c>
      <c r="B94" s="1" t="s">
        <v>112</v>
      </c>
      <c r="C94" s="1" t="s">
        <v>60</v>
      </c>
      <c r="D94" s="1">
        <v>0.186</v>
      </c>
      <c r="E94" s="1" t="s">
        <v>41</v>
      </c>
      <c r="F94" s="1" t="s">
        <v>48</v>
      </c>
      <c r="G94" s="1" t="s">
        <v>14</v>
      </c>
      <c r="H94" s="1" t="s">
        <v>18</v>
      </c>
      <c r="I94" s="1">
        <v>3</v>
      </c>
      <c r="J94" s="3" t="s">
        <v>16</v>
      </c>
      <c r="K94" s="1">
        <v>80</v>
      </c>
      <c r="L94" s="1">
        <v>195</v>
      </c>
      <c r="M94" s="1">
        <v>800</v>
      </c>
      <c r="N94" s="1">
        <v>145.56399999999999</v>
      </c>
      <c r="O94" s="1">
        <v>92.028999999999996</v>
      </c>
    </row>
    <row r="95" spans="1:15" x14ac:dyDescent="0.25">
      <c r="A95" s="1" t="s">
        <v>108</v>
      </c>
      <c r="B95" s="1" t="s">
        <v>113</v>
      </c>
      <c r="C95" s="1" t="s">
        <v>60</v>
      </c>
      <c r="D95" s="1">
        <v>0.186</v>
      </c>
      <c r="E95" s="1" t="s">
        <v>41</v>
      </c>
      <c r="F95" s="1" t="s">
        <v>48</v>
      </c>
      <c r="G95" s="1" t="s">
        <v>14</v>
      </c>
      <c r="H95" s="1" t="s">
        <v>18</v>
      </c>
      <c r="I95" s="1">
        <v>4</v>
      </c>
      <c r="J95" s="3" t="s">
        <v>16</v>
      </c>
      <c r="K95" s="1">
        <v>80</v>
      </c>
      <c r="L95" s="1">
        <v>180</v>
      </c>
      <c r="M95" s="1">
        <v>800</v>
      </c>
      <c r="N95" s="1">
        <v>132.18</v>
      </c>
      <c r="O95" s="1">
        <v>82.468999999999994</v>
      </c>
    </row>
    <row r="96" spans="1:15" x14ac:dyDescent="0.25">
      <c r="A96" s="1" t="s">
        <v>108</v>
      </c>
      <c r="B96" s="1" t="s">
        <v>114</v>
      </c>
      <c r="C96" s="1" t="s">
        <v>60</v>
      </c>
      <c r="D96" s="1">
        <v>0.186</v>
      </c>
      <c r="E96" s="1" t="s">
        <v>41</v>
      </c>
      <c r="F96" s="1" t="s">
        <v>48</v>
      </c>
      <c r="G96" s="1" t="s">
        <v>14</v>
      </c>
      <c r="H96" s="1" t="s">
        <v>18</v>
      </c>
      <c r="I96" s="1">
        <v>5</v>
      </c>
      <c r="J96" s="3" t="s">
        <v>16</v>
      </c>
      <c r="K96" s="1">
        <v>122</v>
      </c>
      <c r="L96" s="1">
        <v>195</v>
      </c>
      <c r="M96" s="1">
        <v>800</v>
      </c>
      <c r="N96" s="1">
        <v>125.55200000000001</v>
      </c>
      <c r="O96" s="1">
        <v>50.475999999999999</v>
      </c>
    </row>
    <row r="97" spans="1:25" x14ac:dyDescent="0.25">
      <c r="A97" s="1" t="s">
        <v>108</v>
      </c>
      <c r="B97" s="1" t="s">
        <v>115</v>
      </c>
      <c r="C97" s="1" t="s">
        <v>60</v>
      </c>
      <c r="D97" s="1">
        <v>0.186</v>
      </c>
      <c r="E97" s="1" t="s">
        <v>41</v>
      </c>
      <c r="F97" s="1" t="s">
        <v>48</v>
      </c>
      <c r="G97" s="1" t="s">
        <v>14</v>
      </c>
      <c r="H97" s="1" t="s">
        <v>18</v>
      </c>
      <c r="I97" s="1">
        <v>6</v>
      </c>
      <c r="J97" s="3" t="s">
        <v>16</v>
      </c>
      <c r="K97" s="1">
        <v>122</v>
      </c>
      <c r="L97" s="1">
        <v>180</v>
      </c>
      <c r="M97" s="1">
        <v>800</v>
      </c>
      <c r="N97" s="1">
        <v>107.197</v>
      </c>
      <c r="O97" s="1">
        <v>42.445</v>
      </c>
    </row>
    <row r="98" spans="1:25" x14ac:dyDescent="0.25">
      <c r="A98" s="1" t="s">
        <v>108</v>
      </c>
      <c r="B98" s="1" t="s">
        <v>116</v>
      </c>
      <c r="C98" s="1" t="s">
        <v>60</v>
      </c>
      <c r="D98" s="1">
        <v>0.186</v>
      </c>
      <c r="E98" s="1" t="s">
        <v>41</v>
      </c>
      <c r="F98" s="1" t="s">
        <v>48</v>
      </c>
      <c r="G98" s="1" t="s">
        <v>14</v>
      </c>
      <c r="H98" s="1" t="s">
        <v>18</v>
      </c>
      <c r="I98" s="1">
        <v>7</v>
      </c>
      <c r="J98" s="3" t="s">
        <v>16</v>
      </c>
      <c r="K98" s="1">
        <v>144</v>
      </c>
      <c r="L98" s="1">
        <v>195</v>
      </c>
      <c r="M98" s="1">
        <v>800</v>
      </c>
      <c r="N98" s="1">
        <v>118.92400000000001</v>
      </c>
      <c r="O98" s="1">
        <v>40.915999999999997</v>
      </c>
    </row>
    <row r="99" spans="1:25" x14ac:dyDescent="0.25">
      <c r="A99" s="1" t="s">
        <v>108</v>
      </c>
      <c r="B99" s="1" t="s">
        <v>117</v>
      </c>
      <c r="C99" s="1" t="s">
        <v>60</v>
      </c>
      <c r="D99" s="1">
        <v>0.186</v>
      </c>
      <c r="E99" s="1" t="s">
        <v>41</v>
      </c>
      <c r="F99" s="1" t="s">
        <v>48</v>
      </c>
      <c r="G99" s="1" t="s">
        <v>14</v>
      </c>
      <c r="H99" s="1" t="s">
        <v>18</v>
      </c>
      <c r="I99" s="1">
        <v>8</v>
      </c>
      <c r="J99" s="3" t="s">
        <v>16</v>
      </c>
      <c r="K99" s="1">
        <v>144</v>
      </c>
      <c r="L99" s="1">
        <v>180</v>
      </c>
      <c r="M99" s="1">
        <v>800</v>
      </c>
      <c r="N99" s="1">
        <v>116.75700000000001</v>
      </c>
      <c r="O99" s="1">
        <v>40.661000000000001</v>
      </c>
    </row>
    <row r="100" spans="1:25" x14ac:dyDescent="0.25">
      <c r="A100" s="1" t="s">
        <v>108</v>
      </c>
      <c r="B100" s="1" t="s">
        <v>118</v>
      </c>
      <c r="C100" s="1" t="s">
        <v>60</v>
      </c>
      <c r="D100" s="1">
        <v>0.186</v>
      </c>
      <c r="E100" s="1" t="s">
        <v>41</v>
      </c>
      <c r="F100" s="1" t="s">
        <v>48</v>
      </c>
      <c r="G100" s="1" t="s">
        <v>14</v>
      </c>
      <c r="H100" s="1" t="s">
        <v>18</v>
      </c>
      <c r="I100" s="1">
        <v>9</v>
      </c>
      <c r="J100" s="3" t="s">
        <v>16</v>
      </c>
      <c r="K100" s="1">
        <v>167</v>
      </c>
      <c r="L100" s="1">
        <v>195</v>
      </c>
      <c r="M100" s="1">
        <v>800</v>
      </c>
      <c r="N100" s="1">
        <v>134.72900000000001</v>
      </c>
      <c r="O100" s="1">
        <v>36.965000000000003</v>
      </c>
    </row>
    <row r="101" spans="1:25" x14ac:dyDescent="0.25">
      <c r="A101" s="1" t="s">
        <v>108</v>
      </c>
      <c r="B101" s="1" t="s">
        <v>119</v>
      </c>
      <c r="C101" s="1" t="s">
        <v>60</v>
      </c>
      <c r="D101" s="1">
        <v>0.186</v>
      </c>
      <c r="E101" s="1" t="s">
        <v>41</v>
      </c>
      <c r="F101" s="1" t="s">
        <v>48</v>
      </c>
      <c r="G101" s="1" t="s">
        <v>14</v>
      </c>
      <c r="H101" s="1" t="s">
        <v>18</v>
      </c>
      <c r="I101" s="1">
        <v>10</v>
      </c>
      <c r="J101" s="3" t="s">
        <v>16</v>
      </c>
      <c r="K101" s="1">
        <v>167</v>
      </c>
      <c r="L101" s="1">
        <v>180</v>
      </c>
      <c r="M101" s="1">
        <v>800</v>
      </c>
      <c r="N101" s="1">
        <v>138.298</v>
      </c>
      <c r="O101" s="1">
        <v>40.151000000000003</v>
      </c>
    </row>
    <row r="102" spans="1:25" x14ac:dyDescent="0.25">
      <c r="A102" s="1" t="s">
        <v>108</v>
      </c>
      <c r="B102" s="1" t="s">
        <v>120</v>
      </c>
      <c r="C102" s="1" t="s">
        <v>60</v>
      </c>
      <c r="D102" s="1">
        <v>0.186</v>
      </c>
      <c r="E102" s="1" t="s">
        <v>41</v>
      </c>
      <c r="F102" s="1" t="s">
        <v>48</v>
      </c>
      <c r="G102" s="1" t="s">
        <v>14</v>
      </c>
      <c r="H102" s="1" t="s">
        <v>18</v>
      </c>
      <c r="I102" s="1">
        <v>11</v>
      </c>
      <c r="J102" s="3" t="s">
        <v>16</v>
      </c>
      <c r="K102" s="1">
        <v>211</v>
      </c>
      <c r="L102" s="1">
        <v>195</v>
      </c>
      <c r="M102" s="1">
        <v>800</v>
      </c>
      <c r="N102" s="1">
        <v>152.447</v>
      </c>
      <c r="O102" s="1">
        <v>30.719000000000001</v>
      </c>
    </row>
    <row r="103" spans="1:25" x14ac:dyDescent="0.25">
      <c r="A103" s="1" t="s">
        <v>108</v>
      </c>
      <c r="B103" s="1" t="s">
        <v>109</v>
      </c>
      <c r="C103" s="1" t="s">
        <v>60</v>
      </c>
      <c r="D103" s="1">
        <v>0.186</v>
      </c>
      <c r="E103" s="1" t="s">
        <v>41</v>
      </c>
      <c r="F103" s="1" t="s">
        <v>48</v>
      </c>
      <c r="G103" s="1" t="s">
        <v>14</v>
      </c>
      <c r="H103" s="1" t="s">
        <v>18</v>
      </c>
      <c r="I103" s="1">
        <v>12</v>
      </c>
      <c r="J103" s="3" t="s">
        <v>16</v>
      </c>
      <c r="K103" s="1">
        <v>211</v>
      </c>
      <c r="L103" s="1">
        <v>180</v>
      </c>
      <c r="M103" s="1">
        <v>800</v>
      </c>
      <c r="N103" s="1">
        <v>153.084</v>
      </c>
      <c r="O103" s="1">
        <v>28.806999999999999</v>
      </c>
    </row>
    <row r="104" spans="1:25" x14ac:dyDescent="0.25">
      <c r="A104" s="1" t="s">
        <v>108</v>
      </c>
      <c r="B104" s="1" t="s">
        <v>121</v>
      </c>
      <c r="C104" s="1" t="s">
        <v>60</v>
      </c>
      <c r="D104" s="1">
        <v>0.186</v>
      </c>
      <c r="E104" s="1" t="s">
        <v>41</v>
      </c>
      <c r="F104" s="1" t="s">
        <v>48</v>
      </c>
      <c r="G104" s="1" t="s">
        <v>14</v>
      </c>
      <c r="H104" s="1" t="s">
        <v>18</v>
      </c>
      <c r="I104" s="1">
        <v>13</v>
      </c>
      <c r="J104" s="3" t="s">
        <v>16</v>
      </c>
      <c r="K104" s="1">
        <v>256</v>
      </c>
      <c r="L104" s="1">
        <v>195</v>
      </c>
      <c r="M104" s="1">
        <v>800</v>
      </c>
      <c r="N104" s="1">
        <v>165.12799999999999</v>
      </c>
      <c r="O104" s="1">
        <v>26.687000000000001</v>
      </c>
    </row>
    <row r="105" spans="1:25" x14ac:dyDescent="0.25">
      <c r="A105" s="1" t="s">
        <v>108</v>
      </c>
      <c r="B105" s="1" t="s">
        <v>122</v>
      </c>
      <c r="C105" s="1" t="s">
        <v>60</v>
      </c>
      <c r="D105" s="1">
        <v>0.186</v>
      </c>
      <c r="E105" s="1" t="s">
        <v>41</v>
      </c>
      <c r="F105" s="1" t="s">
        <v>48</v>
      </c>
      <c r="G105" s="1" t="s">
        <v>14</v>
      </c>
      <c r="H105" s="1" t="s">
        <v>18</v>
      </c>
      <c r="I105" s="1">
        <v>14</v>
      </c>
      <c r="J105" s="3" t="s">
        <v>16</v>
      </c>
      <c r="K105" s="1">
        <v>256</v>
      </c>
      <c r="L105" s="1">
        <v>180</v>
      </c>
      <c r="M105" s="1">
        <v>800</v>
      </c>
      <c r="N105" s="1">
        <v>163.46</v>
      </c>
      <c r="O105" s="1">
        <v>23.073</v>
      </c>
    </row>
    <row r="106" spans="1:25" x14ac:dyDescent="0.25">
      <c r="A106" s="1" t="s">
        <v>108</v>
      </c>
      <c r="B106" s="1" t="s">
        <v>123</v>
      </c>
      <c r="C106" s="1" t="s">
        <v>60</v>
      </c>
      <c r="D106" s="1">
        <v>0.186</v>
      </c>
      <c r="E106" s="1" t="s">
        <v>41</v>
      </c>
      <c r="F106" s="1" t="s">
        <v>48</v>
      </c>
      <c r="G106" s="1" t="s">
        <v>14</v>
      </c>
      <c r="H106" s="1" t="s">
        <v>18</v>
      </c>
      <c r="I106" s="1">
        <v>15</v>
      </c>
      <c r="J106" s="3" t="s">
        <v>16</v>
      </c>
      <c r="K106" s="1">
        <v>167</v>
      </c>
      <c r="L106" s="1">
        <v>195</v>
      </c>
      <c r="M106" s="1">
        <v>800</v>
      </c>
      <c r="N106" s="1">
        <v>132.464</v>
      </c>
      <c r="O106" s="1">
        <v>35.722000000000001</v>
      </c>
      <c r="Y106" s="6"/>
    </row>
    <row r="107" spans="1:25" x14ac:dyDescent="0.25">
      <c r="A107" s="1" t="s">
        <v>108</v>
      </c>
      <c r="B107" s="1" t="s">
        <v>124</v>
      </c>
      <c r="C107" s="1" t="s">
        <v>60</v>
      </c>
      <c r="D107" s="1">
        <v>0.186</v>
      </c>
      <c r="E107" s="1" t="s">
        <v>41</v>
      </c>
      <c r="F107" s="1" t="s">
        <v>48</v>
      </c>
      <c r="G107" s="1" t="s">
        <v>14</v>
      </c>
      <c r="H107" s="1" t="s">
        <v>18</v>
      </c>
      <c r="I107" s="1">
        <v>16</v>
      </c>
      <c r="J107" s="3" t="s">
        <v>16</v>
      </c>
      <c r="K107" s="1">
        <v>167</v>
      </c>
      <c r="L107" s="1">
        <v>180</v>
      </c>
      <c r="M107" s="1">
        <v>800</v>
      </c>
      <c r="N107" s="1">
        <v>133.99299999999999</v>
      </c>
      <c r="O107" s="1">
        <v>33.914999999999999</v>
      </c>
    </row>
    <row r="108" spans="1:25" x14ac:dyDescent="0.25">
      <c r="A108" s="1" t="s">
        <v>129</v>
      </c>
      <c r="B108" s="1" t="s">
        <v>128</v>
      </c>
      <c r="C108" s="1" t="s">
        <v>60</v>
      </c>
      <c r="D108" s="1">
        <v>0.186</v>
      </c>
      <c r="E108" s="1" t="s">
        <v>42</v>
      </c>
      <c r="F108" s="1" t="s">
        <v>48</v>
      </c>
      <c r="G108" s="1" t="s">
        <v>14</v>
      </c>
      <c r="H108" s="1" t="s">
        <v>285</v>
      </c>
      <c r="I108" s="1">
        <v>1</v>
      </c>
      <c r="J108" s="3" t="s">
        <v>16</v>
      </c>
      <c r="K108" s="1">
        <v>199.28302260368136</v>
      </c>
      <c r="L108" s="1">
        <v>122</v>
      </c>
      <c r="M108" s="1">
        <v>200</v>
      </c>
      <c r="N108" s="1">
        <v>205.089</v>
      </c>
      <c r="O108" s="1">
        <v>49.201000000000001</v>
      </c>
    </row>
    <row r="109" spans="1:25" x14ac:dyDescent="0.25">
      <c r="A109" s="1" t="s">
        <v>130</v>
      </c>
      <c r="B109" s="1" t="s">
        <v>143</v>
      </c>
      <c r="C109" s="1" t="s">
        <v>60</v>
      </c>
      <c r="D109" s="1">
        <v>0.186</v>
      </c>
      <c r="E109" s="1" t="s">
        <v>42</v>
      </c>
      <c r="F109" s="1" t="s">
        <v>48</v>
      </c>
      <c r="G109" s="1" t="s">
        <v>14</v>
      </c>
      <c r="H109" s="1" t="s">
        <v>285</v>
      </c>
      <c r="I109" s="1">
        <v>1</v>
      </c>
      <c r="J109" s="3" t="s">
        <v>16</v>
      </c>
      <c r="K109" s="1">
        <v>199.28302260368136</v>
      </c>
      <c r="L109" s="1">
        <v>122</v>
      </c>
      <c r="M109" s="1">
        <v>200</v>
      </c>
      <c r="N109" s="1">
        <v>202.37899999999999</v>
      </c>
      <c r="O109" s="1">
        <v>48.649000000000001</v>
      </c>
    </row>
    <row r="110" spans="1:25" x14ac:dyDescent="0.25">
      <c r="A110" s="1" t="s">
        <v>129</v>
      </c>
      <c r="B110" s="1" t="s">
        <v>131</v>
      </c>
      <c r="C110" s="1" t="s">
        <v>60</v>
      </c>
      <c r="D110" s="1">
        <v>0.186</v>
      </c>
      <c r="E110" s="1" t="s">
        <v>42</v>
      </c>
      <c r="F110" s="1" t="s">
        <v>48</v>
      </c>
      <c r="G110" s="1" t="s">
        <v>14</v>
      </c>
      <c r="H110" s="1" t="s">
        <v>285</v>
      </c>
      <c r="I110" s="1">
        <v>2</v>
      </c>
      <c r="J110" s="3" t="s">
        <v>16</v>
      </c>
      <c r="K110" s="1">
        <v>107.46996488246072</v>
      </c>
      <c r="L110" s="1">
        <v>122</v>
      </c>
      <c r="M110" s="1">
        <v>800</v>
      </c>
      <c r="N110" s="1">
        <v>102.863</v>
      </c>
      <c r="O110" s="1">
        <v>32.886000000000003</v>
      </c>
    </row>
    <row r="111" spans="1:25" x14ac:dyDescent="0.25">
      <c r="A111" s="1" t="s">
        <v>130</v>
      </c>
      <c r="B111" s="1" t="s">
        <v>144</v>
      </c>
      <c r="C111" s="1" t="s">
        <v>60</v>
      </c>
      <c r="D111" s="1">
        <v>0.186</v>
      </c>
      <c r="E111" s="1" t="s">
        <v>42</v>
      </c>
      <c r="F111" s="1" t="s">
        <v>48</v>
      </c>
      <c r="G111" s="1" t="s">
        <v>14</v>
      </c>
      <c r="H111" s="1" t="s">
        <v>285</v>
      </c>
      <c r="I111" s="1">
        <v>2</v>
      </c>
      <c r="J111" s="3" t="s">
        <v>16</v>
      </c>
      <c r="K111" s="1">
        <v>107.46996488246072</v>
      </c>
      <c r="L111" s="1">
        <v>122</v>
      </c>
      <c r="M111" s="1">
        <v>800</v>
      </c>
      <c r="N111" s="1">
        <v>95.769000000000005</v>
      </c>
      <c r="O111" s="1">
        <v>34.332000000000001</v>
      </c>
    </row>
    <row r="112" spans="1:25" x14ac:dyDescent="0.25">
      <c r="A112" s="1" t="s">
        <v>129</v>
      </c>
      <c r="B112" s="1" t="s">
        <v>132</v>
      </c>
      <c r="C112" s="1" t="s">
        <v>60</v>
      </c>
      <c r="D112" s="1">
        <v>0.186</v>
      </c>
      <c r="E112" s="1" t="s">
        <v>42</v>
      </c>
      <c r="F112" s="1" t="s">
        <v>48</v>
      </c>
      <c r="G112" s="1" t="s">
        <v>14</v>
      </c>
      <c r="H112" s="1" t="s">
        <v>285</v>
      </c>
      <c r="I112" s="1">
        <v>3</v>
      </c>
      <c r="J112" s="3" t="s">
        <v>16</v>
      </c>
      <c r="K112" s="1">
        <v>107.46996488246072</v>
      </c>
      <c r="L112" s="1">
        <v>122</v>
      </c>
      <c r="M112" s="1">
        <v>200</v>
      </c>
      <c r="N112" s="1">
        <v>205.059</v>
      </c>
      <c r="O112" s="1">
        <v>180.607</v>
      </c>
    </row>
    <row r="113" spans="1:15" x14ac:dyDescent="0.25">
      <c r="A113" s="1" t="s">
        <v>130</v>
      </c>
      <c r="B113" s="1" t="s">
        <v>145</v>
      </c>
      <c r="C113" s="1" t="s">
        <v>60</v>
      </c>
      <c r="D113" s="1">
        <v>0.186</v>
      </c>
      <c r="E113" s="1" t="s">
        <v>42</v>
      </c>
      <c r="F113" s="1" t="s">
        <v>48</v>
      </c>
      <c r="G113" s="1" t="s">
        <v>14</v>
      </c>
      <c r="H113" s="1" t="s">
        <v>285</v>
      </c>
      <c r="I113" s="1">
        <v>3</v>
      </c>
      <c r="J113" s="3" t="s">
        <v>16</v>
      </c>
      <c r="K113" s="1">
        <v>107.46996488246072</v>
      </c>
      <c r="L113" s="1">
        <v>122</v>
      </c>
      <c r="M113" s="1">
        <v>200</v>
      </c>
      <c r="N113" s="1">
        <v>208.02799999999999</v>
      </c>
      <c r="O113" s="1">
        <v>178.995</v>
      </c>
    </row>
    <row r="114" spans="1:15" x14ac:dyDescent="0.25">
      <c r="A114" s="1" t="s">
        <v>129</v>
      </c>
      <c r="B114" s="1" t="s">
        <v>133</v>
      </c>
      <c r="C114" s="1" t="s">
        <v>60</v>
      </c>
      <c r="D114" s="1">
        <v>0.186</v>
      </c>
      <c r="E114" s="1" t="s">
        <v>42</v>
      </c>
      <c r="F114" s="1" t="s">
        <v>48</v>
      </c>
      <c r="G114" s="1" t="s">
        <v>14</v>
      </c>
      <c r="H114" s="1" t="s">
        <v>285</v>
      </c>
      <c r="I114" s="1">
        <v>4</v>
      </c>
      <c r="J114" s="3" t="s">
        <v>16</v>
      </c>
      <c r="K114" s="1">
        <v>199.28302260368136</v>
      </c>
      <c r="L114" s="1">
        <v>122</v>
      </c>
      <c r="M114" s="1">
        <v>800</v>
      </c>
      <c r="N114" s="1">
        <v>134.857</v>
      </c>
      <c r="O114" s="1">
        <v>20.649000000000001</v>
      </c>
    </row>
    <row r="115" spans="1:15" x14ac:dyDescent="0.25">
      <c r="A115" s="1" t="s">
        <v>130</v>
      </c>
      <c r="B115" s="1" t="s">
        <v>146</v>
      </c>
      <c r="C115" s="1" t="s">
        <v>60</v>
      </c>
      <c r="D115" s="1">
        <v>0.186</v>
      </c>
      <c r="E115" s="1" t="s">
        <v>42</v>
      </c>
      <c r="F115" s="1" t="s">
        <v>48</v>
      </c>
      <c r="G115" s="1" t="s">
        <v>14</v>
      </c>
      <c r="H115" s="1" t="s">
        <v>285</v>
      </c>
      <c r="I115" s="1">
        <v>4</v>
      </c>
      <c r="J115" s="3" t="s">
        <v>16</v>
      </c>
      <c r="K115" s="1">
        <v>199.28302260368136</v>
      </c>
      <c r="L115" s="1">
        <v>122</v>
      </c>
      <c r="M115" s="1">
        <v>800</v>
      </c>
      <c r="N115" s="1">
        <v>134.96600000000001</v>
      </c>
      <c r="O115" s="1">
        <v>21.265999999999998</v>
      </c>
    </row>
    <row r="116" spans="1:15" x14ac:dyDescent="0.25">
      <c r="A116" s="1" t="s">
        <v>129</v>
      </c>
      <c r="B116" s="1" t="s">
        <v>134</v>
      </c>
      <c r="C116" s="1" t="s">
        <v>60</v>
      </c>
      <c r="D116" s="1">
        <v>0.186</v>
      </c>
      <c r="E116" s="1" t="s">
        <v>42</v>
      </c>
      <c r="F116" s="1" t="s">
        <v>48</v>
      </c>
      <c r="G116" s="1" t="s">
        <v>14</v>
      </c>
      <c r="H116" s="1" t="s">
        <v>285</v>
      </c>
      <c r="I116" s="1">
        <v>5</v>
      </c>
      <c r="J116" s="3" t="s">
        <v>16</v>
      </c>
      <c r="K116" s="1">
        <v>107.46996488246072</v>
      </c>
      <c r="L116" s="1">
        <v>195</v>
      </c>
      <c r="M116" s="1">
        <v>200</v>
      </c>
      <c r="N116" s="1">
        <v>256.07299999999998</v>
      </c>
      <c r="O116" s="1">
        <v>350.322</v>
      </c>
    </row>
    <row r="117" spans="1:15" x14ac:dyDescent="0.25">
      <c r="A117" s="1" t="s">
        <v>130</v>
      </c>
      <c r="B117" s="1" t="s">
        <v>147</v>
      </c>
      <c r="C117" s="1" t="s">
        <v>60</v>
      </c>
      <c r="D117" s="1">
        <v>0.186</v>
      </c>
      <c r="E117" s="1" t="s">
        <v>42</v>
      </c>
      <c r="F117" s="1" t="s">
        <v>48</v>
      </c>
      <c r="G117" s="1" t="s">
        <v>14</v>
      </c>
      <c r="H117" s="1" t="s">
        <v>285</v>
      </c>
      <c r="I117" s="1">
        <v>5</v>
      </c>
      <c r="J117" s="3" t="s">
        <v>16</v>
      </c>
      <c r="K117" s="1">
        <v>107.46996488246072</v>
      </c>
      <c r="L117" s="1">
        <v>195</v>
      </c>
      <c r="M117" s="1">
        <v>200</v>
      </c>
      <c r="N117" s="1">
        <v>248.154</v>
      </c>
      <c r="O117" s="1">
        <v>344.85599999999999</v>
      </c>
    </row>
    <row r="118" spans="1:15" x14ac:dyDescent="0.25">
      <c r="A118" s="1" t="s">
        <v>129</v>
      </c>
      <c r="B118" s="1" t="s">
        <v>135</v>
      </c>
      <c r="C118" s="1" t="s">
        <v>60</v>
      </c>
      <c r="D118" s="1">
        <v>0.186</v>
      </c>
      <c r="E118" s="1" t="s">
        <v>42</v>
      </c>
      <c r="F118" s="1" t="s">
        <v>48</v>
      </c>
      <c r="G118" s="1" t="s">
        <v>14</v>
      </c>
      <c r="H118" s="1" t="s">
        <v>285</v>
      </c>
      <c r="I118" s="1">
        <v>6</v>
      </c>
      <c r="J118" s="3" t="s">
        <v>16</v>
      </c>
      <c r="K118" s="1">
        <v>199.28302260368136</v>
      </c>
      <c r="L118" s="1">
        <v>195</v>
      </c>
      <c r="M118" s="1">
        <v>200</v>
      </c>
      <c r="N118" s="1">
        <v>246.315</v>
      </c>
      <c r="O118" s="1">
        <v>81.180999999999997</v>
      </c>
    </row>
    <row r="119" spans="1:15" x14ac:dyDescent="0.25">
      <c r="A119" s="1" t="s">
        <v>130</v>
      </c>
      <c r="B119" s="1" t="s">
        <v>148</v>
      </c>
      <c r="C119" s="1" t="s">
        <v>60</v>
      </c>
      <c r="D119" s="1">
        <v>0.186</v>
      </c>
      <c r="E119" s="1" t="s">
        <v>42</v>
      </c>
      <c r="F119" s="1" t="s">
        <v>48</v>
      </c>
      <c r="G119" s="1" t="s">
        <v>14</v>
      </c>
      <c r="H119" s="1" t="s">
        <v>285</v>
      </c>
      <c r="I119" s="1">
        <v>6</v>
      </c>
      <c r="J119" s="3" t="s">
        <v>16</v>
      </c>
      <c r="K119" s="1">
        <v>199.28302260368136</v>
      </c>
      <c r="L119" s="1">
        <v>195</v>
      </c>
      <c r="M119" s="1">
        <v>200</v>
      </c>
      <c r="N119" s="1">
        <v>245.14699999999999</v>
      </c>
      <c r="O119" s="1">
        <v>81.278999999999996</v>
      </c>
    </row>
    <row r="120" spans="1:15" x14ac:dyDescent="0.25">
      <c r="A120" s="1" t="s">
        <v>129</v>
      </c>
      <c r="B120" s="1" t="s">
        <v>136</v>
      </c>
      <c r="C120" s="1" t="s">
        <v>60</v>
      </c>
      <c r="D120" s="1">
        <v>0.186</v>
      </c>
      <c r="E120" s="1" t="s">
        <v>42</v>
      </c>
      <c r="F120" s="1" t="s">
        <v>48</v>
      </c>
      <c r="G120" s="1" t="s">
        <v>14</v>
      </c>
      <c r="H120" s="1" t="s">
        <v>285</v>
      </c>
      <c r="I120" s="1">
        <v>7</v>
      </c>
      <c r="J120" s="3" t="s">
        <v>16</v>
      </c>
      <c r="K120" s="1">
        <v>107.46996488246072</v>
      </c>
      <c r="L120" s="1">
        <v>195</v>
      </c>
      <c r="M120" s="1">
        <v>800</v>
      </c>
      <c r="N120" s="1">
        <v>139.828</v>
      </c>
      <c r="O120" s="1">
        <v>79.92</v>
      </c>
    </row>
    <row r="121" spans="1:15" x14ac:dyDescent="0.25">
      <c r="A121" s="1" t="s">
        <v>130</v>
      </c>
      <c r="B121" s="1" t="s">
        <v>149</v>
      </c>
      <c r="C121" s="1" t="s">
        <v>60</v>
      </c>
      <c r="D121" s="1">
        <v>0.186</v>
      </c>
      <c r="E121" s="1" t="s">
        <v>42</v>
      </c>
      <c r="F121" s="1" t="s">
        <v>48</v>
      </c>
      <c r="G121" s="1" t="s">
        <v>14</v>
      </c>
      <c r="H121" s="1" t="s">
        <v>285</v>
      </c>
      <c r="I121" s="1">
        <v>7</v>
      </c>
      <c r="J121" s="3" t="s">
        <v>16</v>
      </c>
      <c r="K121" s="1">
        <v>107.46996488246072</v>
      </c>
      <c r="L121" s="1">
        <v>195</v>
      </c>
      <c r="M121" s="1">
        <v>800</v>
      </c>
      <c r="N121" s="1">
        <v>140.94200000000001</v>
      </c>
      <c r="O121" s="1">
        <v>77.143000000000001</v>
      </c>
    </row>
    <row r="122" spans="1:15" x14ac:dyDescent="0.25">
      <c r="A122" s="1" t="s">
        <v>129</v>
      </c>
      <c r="B122" s="1" t="s">
        <v>137</v>
      </c>
      <c r="C122" s="1" t="s">
        <v>60</v>
      </c>
      <c r="D122" s="1">
        <v>0.186</v>
      </c>
      <c r="E122" s="1" t="s">
        <v>42</v>
      </c>
      <c r="F122" s="1" t="s">
        <v>48</v>
      </c>
      <c r="G122" s="1" t="s">
        <v>14</v>
      </c>
      <c r="H122" s="1" t="s">
        <v>285</v>
      </c>
      <c r="I122" s="1">
        <v>8</v>
      </c>
      <c r="J122" s="3" t="s">
        <v>16</v>
      </c>
      <c r="K122" s="1">
        <v>199.28302260368136</v>
      </c>
      <c r="L122" s="1">
        <v>195</v>
      </c>
      <c r="M122" s="1">
        <v>800</v>
      </c>
      <c r="N122" s="1">
        <v>156.143</v>
      </c>
      <c r="O122" s="1">
        <v>35.052999999999997</v>
      </c>
    </row>
    <row r="123" spans="1:15" x14ac:dyDescent="0.25">
      <c r="A123" s="1" t="s">
        <v>130</v>
      </c>
      <c r="B123" s="1" t="s">
        <v>150</v>
      </c>
      <c r="C123" s="1" t="s">
        <v>60</v>
      </c>
      <c r="D123" s="1">
        <v>0.186</v>
      </c>
      <c r="E123" s="1" t="s">
        <v>42</v>
      </c>
      <c r="F123" s="1" t="s">
        <v>48</v>
      </c>
      <c r="G123" s="1" t="s">
        <v>127</v>
      </c>
      <c r="H123" s="1" t="s">
        <v>285</v>
      </c>
      <c r="I123" s="1">
        <v>8</v>
      </c>
      <c r="J123" s="3" t="s">
        <v>16</v>
      </c>
      <c r="K123" s="1">
        <v>199.28302260368136</v>
      </c>
      <c r="L123" s="1">
        <v>195</v>
      </c>
      <c r="M123" s="1">
        <v>800</v>
      </c>
      <c r="N123" s="1">
        <v>157.62200000000001</v>
      </c>
      <c r="O123" s="1">
        <v>35.444000000000003</v>
      </c>
    </row>
    <row r="124" spans="1:15" x14ac:dyDescent="0.25">
      <c r="A124" s="1" t="s">
        <v>129</v>
      </c>
      <c r="B124" s="1" t="s">
        <v>138</v>
      </c>
      <c r="C124" s="1" t="s">
        <v>60</v>
      </c>
      <c r="D124" s="1">
        <v>0.186</v>
      </c>
      <c r="E124" s="1" t="s">
        <v>42</v>
      </c>
      <c r="F124" s="1" t="s">
        <v>48</v>
      </c>
      <c r="G124" s="1" t="s">
        <v>14</v>
      </c>
      <c r="H124" s="1" t="s">
        <v>285</v>
      </c>
      <c r="I124" s="1">
        <v>9</v>
      </c>
      <c r="J124" s="3" t="s">
        <v>16</v>
      </c>
      <c r="K124" s="1">
        <v>100.00000000000001</v>
      </c>
      <c r="L124" s="1">
        <v>122</v>
      </c>
      <c r="M124" s="1">
        <v>800</v>
      </c>
      <c r="N124" s="1">
        <v>109.491</v>
      </c>
      <c r="O124" s="1">
        <v>45.377000000000002</v>
      </c>
    </row>
    <row r="125" spans="1:15" x14ac:dyDescent="0.25">
      <c r="A125" s="1" t="s">
        <v>130</v>
      </c>
      <c r="B125" s="1" t="s">
        <v>151</v>
      </c>
      <c r="C125" s="1" t="s">
        <v>60</v>
      </c>
      <c r="D125" s="1">
        <v>0.186</v>
      </c>
      <c r="E125" s="1" t="s">
        <v>42</v>
      </c>
      <c r="F125" s="1" t="s">
        <v>48</v>
      </c>
      <c r="G125" s="1" t="s">
        <v>14</v>
      </c>
      <c r="H125" s="1" t="s">
        <v>285</v>
      </c>
      <c r="I125" s="1">
        <v>9</v>
      </c>
      <c r="J125" s="3" t="s">
        <v>16</v>
      </c>
      <c r="K125" s="1">
        <v>100.00000000000001</v>
      </c>
      <c r="L125" s="1">
        <v>122</v>
      </c>
      <c r="M125" s="1">
        <v>800</v>
      </c>
      <c r="N125" s="1">
        <v>107.166</v>
      </c>
      <c r="O125" s="1">
        <v>46.286000000000001</v>
      </c>
    </row>
    <row r="126" spans="1:15" x14ac:dyDescent="0.25">
      <c r="A126" s="1" t="s">
        <v>129</v>
      </c>
      <c r="B126" s="1" t="s">
        <v>139</v>
      </c>
      <c r="C126" s="1" t="s">
        <v>60</v>
      </c>
      <c r="D126" s="1">
        <v>0.186</v>
      </c>
      <c r="E126" s="1" t="s">
        <v>42</v>
      </c>
      <c r="F126" s="1" t="s">
        <v>48</v>
      </c>
      <c r="G126" s="1" t="s">
        <v>14</v>
      </c>
      <c r="H126" s="1" t="s">
        <v>285</v>
      </c>
      <c r="I126" s="1">
        <v>10</v>
      </c>
      <c r="J126" s="3" t="s">
        <v>16</v>
      </c>
      <c r="K126" s="1">
        <v>100.00000000000001</v>
      </c>
      <c r="L126" s="1">
        <v>122</v>
      </c>
      <c r="M126" s="1">
        <v>200</v>
      </c>
      <c r="N126" s="1">
        <v>284.88799999999998</v>
      </c>
      <c r="O126" s="1">
        <v>270.86</v>
      </c>
    </row>
    <row r="127" spans="1:15" x14ac:dyDescent="0.25">
      <c r="A127" s="1" t="s">
        <v>130</v>
      </c>
      <c r="B127" s="1" t="s">
        <v>152</v>
      </c>
      <c r="C127" s="1" t="s">
        <v>60</v>
      </c>
      <c r="D127" s="1">
        <v>0.186</v>
      </c>
      <c r="E127" s="1" t="s">
        <v>42</v>
      </c>
      <c r="F127" s="1" t="s">
        <v>48</v>
      </c>
      <c r="G127" s="1" t="s">
        <v>14</v>
      </c>
      <c r="H127" s="1" t="s">
        <v>285</v>
      </c>
      <c r="I127" s="1">
        <v>10</v>
      </c>
      <c r="J127" s="3" t="s">
        <v>16</v>
      </c>
      <c r="K127" s="1">
        <v>100.00000000000001</v>
      </c>
      <c r="L127" s="1">
        <v>122</v>
      </c>
      <c r="M127" s="1">
        <v>200</v>
      </c>
      <c r="N127" s="1">
        <v>266.89</v>
      </c>
      <c r="O127" s="1">
        <v>302.98500000000001</v>
      </c>
    </row>
    <row r="128" spans="1:15" x14ac:dyDescent="0.25">
      <c r="A128" s="1" t="s">
        <v>129</v>
      </c>
      <c r="B128" s="1" t="s">
        <v>140</v>
      </c>
      <c r="C128" s="1" t="s">
        <v>60</v>
      </c>
      <c r="D128" s="1">
        <v>0.186</v>
      </c>
      <c r="E128" s="1" t="s">
        <v>42</v>
      </c>
      <c r="F128" s="1" t="s">
        <v>48</v>
      </c>
      <c r="G128" s="1" t="s">
        <v>14</v>
      </c>
      <c r="H128" s="1" t="s">
        <v>285</v>
      </c>
      <c r="I128" s="1">
        <v>11</v>
      </c>
      <c r="J128" s="3" t="s">
        <v>16</v>
      </c>
      <c r="K128" s="1">
        <v>100.00000000000001</v>
      </c>
      <c r="L128" s="1">
        <v>195</v>
      </c>
      <c r="M128" s="1">
        <v>200</v>
      </c>
      <c r="N128" s="1">
        <v>257.72500000000002</v>
      </c>
      <c r="O128" s="1">
        <v>336.14800000000002</v>
      </c>
    </row>
    <row r="129" spans="1:17" x14ac:dyDescent="0.25">
      <c r="A129" s="1" t="s">
        <v>130</v>
      </c>
      <c r="B129" s="1" t="s">
        <v>153</v>
      </c>
      <c r="C129" s="1" t="s">
        <v>60</v>
      </c>
      <c r="D129" s="1">
        <v>0.186</v>
      </c>
      <c r="E129" s="1" t="s">
        <v>42</v>
      </c>
      <c r="F129" s="1" t="s">
        <v>48</v>
      </c>
      <c r="G129" s="1" t="s">
        <v>14</v>
      </c>
      <c r="H129" s="1" t="s">
        <v>285</v>
      </c>
      <c r="I129" s="1">
        <v>11</v>
      </c>
      <c r="J129" s="3" t="s">
        <v>16</v>
      </c>
      <c r="K129" s="1">
        <v>100.00000000000001</v>
      </c>
      <c r="L129" s="1">
        <v>195</v>
      </c>
      <c r="M129" s="1">
        <v>200</v>
      </c>
      <c r="N129" s="1">
        <v>265.32</v>
      </c>
      <c r="O129" s="1">
        <v>348.899</v>
      </c>
    </row>
    <row r="130" spans="1:17" x14ac:dyDescent="0.25">
      <c r="A130" s="1" t="s">
        <v>129</v>
      </c>
      <c r="B130" s="1" t="s">
        <v>141</v>
      </c>
      <c r="C130" s="1" t="s">
        <v>60</v>
      </c>
      <c r="D130" s="1">
        <v>0.186</v>
      </c>
      <c r="E130" s="1" t="s">
        <v>42</v>
      </c>
      <c r="F130" s="1" t="s">
        <v>48</v>
      </c>
      <c r="G130" s="1" t="s">
        <v>14</v>
      </c>
      <c r="H130" s="1" t="s">
        <v>285</v>
      </c>
      <c r="I130" s="1">
        <v>12</v>
      </c>
      <c r="J130" s="3" t="s">
        <v>16</v>
      </c>
      <c r="K130" s="1">
        <v>100.00000000000001</v>
      </c>
      <c r="L130" s="1">
        <v>195</v>
      </c>
      <c r="M130" s="1">
        <v>800</v>
      </c>
      <c r="N130" s="1">
        <v>152.82900000000001</v>
      </c>
      <c r="O130" s="1">
        <v>97.126999999999995</v>
      </c>
    </row>
    <row r="131" spans="1:17" x14ac:dyDescent="0.25">
      <c r="A131" s="1" t="s">
        <v>130</v>
      </c>
      <c r="B131" s="1" t="s">
        <v>154</v>
      </c>
      <c r="C131" s="1" t="s">
        <v>60</v>
      </c>
      <c r="D131" s="1">
        <v>0.186</v>
      </c>
      <c r="E131" s="1" t="s">
        <v>42</v>
      </c>
      <c r="F131" s="1" t="s">
        <v>48</v>
      </c>
      <c r="G131" s="1" t="s">
        <v>14</v>
      </c>
      <c r="H131" s="1" t="s">
        <v>285</v>
      </c>
      <c r="I131" s="2">
        <v>12</v>
      </c>
      <c r="J131" s="3" t="s">
        <v>16</v>
      </c>
      <c r="K131" s="1">
        <v>100.00000000000001</v>
      </c>
      <c r="L131" s="1">
        <v>195</v>
      </c>
      <c r="M131" s="1">
        <v>800</v>
      </c>
      <c r="N131" s="1">
        <v>151.22800000000001</v>
      </c>
      <c r="O131" s="1">
        <v>100.633</v>
      </c>
    </row>
    <row r="132" spans="1:17" x14ac:dyDescent="0.25">
      <c r="A132" s="1" t="s">
        <v>129</v>
      </c>
      <c r="B132" s="1" t="s">
        <v>142</v>
      </c>
      <c r="C132" s="1" t="s">
        <v>60</v>
      </c>
      <c r="D132" s="1">
        <v>0.186</v>
      </c>
      <c r="E132" s="1" t="s">
        <v>42</v>
      </c>
      <c r="F132" s="1" t="s">
        <v>48</v>
      </c>
      <c r="G132" s="1" t="s">
        <v>14</v>
      </c>
      <c r="H132" s="1" t="s">
        <v>285</v>
      </c>
      <c r="I132" s="1">
        <v>13</v>
      </c>
      <c r="J132" s="3" t="s">
        <v>16</v>
      </c>
      <c r="K132" s="1">
        <v>188.88800000000003</v>
      </c>
      <c r="L132" s="1">
        <v>195</v>
      </c>
      <c r="M132" s="1">
        <v>800</v>
      </c>
      <c r="N132" s="1">
        <v>149.26</v>
      </c>
      <c r="O132" s="1">
        <v>36.965000000000003</v>
      </c>
    </row>
    <row r="133" spans="1:17" x14ac:dyDescent="0.25">
      <c r="A133" s="1" t="s">
        <v>130</v>
      </c>
      <c r="B133" s="1" t="s">
        <v>155</v>
      </c>
      <c r="C133" s="1" t="s">
        <v>60</v>
      </c>
      <c r="D133" s="1">
        <v>0.186</v>
      </c>
      <c r="E133" s="1" t="s">
        <v>42</v>
      </c>
      <c r="F133" s="1" t="s">
        <v>48</v>
      </c>
      <c r="G133" s="1" t="s">
        <v>14</v>
      </c>
      <c r="H133" s="1" t="s">
        <v>285</v>
      </c>
      <c r="I133" s="2">
        <v>13</v>
      </c>
      <c r="J133" s="3" t="s">
        <v>16</v>
      </c>
      <c r="K133" s="1">
        <v>188.88800000000003</v>
      </c>
      <c r="L133" s="1">
        <v>195</v>
      </c>
      <c r="M133" s="1">
        <v>800</v>
      </c>
      <c r="N133" s="1">
        <v>152.20099999999999</v>
      </c>
      <c r="O133" s="1">
        <v>37.945999999999998</v>
      </c>
    </row>
    <row r="134" spans="1:17" x14ac:dyDescent="0.25">
      <c r="A134" s="1" t="s">
        <v>156</v>
      </c>
      <c r="B134" s="1" t="s">
        <v>158</v>
      </c>
      <c r="C134" s="1" t="s">
        <v>60</v>
      </c>
      <c r="D134" s="1">
        <v>0.186</v>
      </c>
      <c r="E134" s="1" t="s">
        <v>43</v>
      </c>
      <c r="F134" s="1" t="s">
        <v>48</v>
      </c>
      <c r="G134" s="1" t="s">
        <v>44</v>
      </c>
      <c r="H134" s="1" t="s">
        <v>285</v>
      </c>
      <c r="I134" s="2">
        <v>1</v>
      </c>
      <c r="J134" s="3" t="s">
        <v>16</v>
      </c>
      <c r="K134">
        <v>277.77600000000001</v>
      </c>
      <c r="L134" s="1">
        <v>195</v>
      </c>
      <c r="M134" s="1">
        <v>800</v>
      </c>
      <c r="N134">
        <v>193.23500000000001</v>
      </c>
      <c r="O134">
        <v>27.405000000000001</v>
      </c>
    </row>
    <row r="135" spans="1:17" x14ac:dyDescent="0.25">
      <c r="A135" s="1" t="s">
        <v>157</v>
      </c>
      <c r="B135" s="1" t="s">
        <v>169</v>
      </c>
      <c r="C135" s="1" t="s">
        <v>60</v>
      </c>
      <c r="D135" s="1">
        <v>0.186</v>
      </c>
      <c r="E135" s="1" t="s">
        <v>43</v>
      </c>
      <c r="F135" s="1" t="s">
        <v>48</v>
      </c>
      <c r="G135" s="1" t="s">
        <v>44</v>
      </c>
      <c r="H135" s="1" t="s">
        <v>285</v>
      </c>
      <c r="I135" s="2">
        <v>1</v>
      </c>
      <c r="J135" s="3" t="s">
        <v>16</v>
      </c>
      <c r="K135">
        <v>277.77600000000001</v>
      </c>
      <c r="L135" s="1">
        <v>195</v>
      </c>
      <c r="M135" s="1">
        <v>800</v>
      </c>
      <c r="N135">
        <v>177.30199999999999</v>
      </c>
      <c r="O135">
        <v>27.532</v>
      </c>
      <c r="Q135"/>
    </row>
    <row r="136" spans="1:17" x14ac:dyDescent="0.25">
      <c r="A136" s="1" t="s">
        <v>156</v>
      </c>
      <c r="B136" s="1" t="s">
        <v>159</v>
      </c>
      <c r="C136" s="1" t="s">
        <v>60</v>
      </c>
      <c r="D136" s="1">
        <v>0.186</v>
      </c>
      <c r="E136" s="1" t="s">
        <v>43</v>
      </c>
      <c r="F136" s="1" t="s">
        <v>48</v>
      </c>
      <c r="G136" s="1" t="s">
        <v>44</v>
      </c>
      <c r="H136" s="1" t="s">
        <v>285</v>
      </c>
      <c r="I136" s="2">
        <v>2</v>
      </c>
      <c r="J136" s="3" t="s">
        <v>16</v>
      </c>
      <c r="K136">
        <v>188.88800000000001</v>
      </c>
      <c r="L136" s="1">
        <v>195</v>
      </c>
      <c r="M136" s="1">
        <v>800</v>
      </c>
      <c r="N136">
        <v>159.58500000000001</v>
      </c>
      <c r="O136">
        <v>37.347000000000001</v>
      </c>
    </row>
    <row r="137" spans="1:17" x14ac:dyDescent="0.25">
      <c r="A137" s="1" t="s">
        <v>157</v>
      </c>
      <c r="B137" s="1" t="s">
        <v>170</v>
      </c>
      <c r="C137" s="1" t="s">
        <v>60</v>
      </c>
      <c r="D137" s="1">
        <v>0.186</v>
      </c>
      <c r="E137" s="1" t="s">
        <v>43</v>
      </c>
      <c r="F137" s="1" t="s">
        <v>48</v>
      </c>
      <c r="G137" s="1" t="s">
        <v>44</v>
      </c>
      <c r="H137" s="1" t="s">
        <v>285</v>
      </c>
      <c r="I137" s="2">
        <v>2</v>
      </c>
      <c r="J137" s="3" t="s">
        <v>16</v>
      </c>
      <c r="K137">
        <v>188.88800000000001</v>
      </c>
      <c r="L137" s="1">
        <v>195</v>
      </c>
      <c r="M137" s="1">
        <v>800</v>
      </c>
      <c r="N137">
        <v>148.75</v>
      </c>
      <c r="O137">
        <v>38.366999999999997</v>
      </c>
    </row>
    <row r="138" spans="1:17" x14ac:dyDescent="0.25">
      <c r="A138" s="1" t="s">
        <v>156</v>
      </c>
      <c r="B138" s="1" t="s">
        <v>160</v>
      </c>
      <c r="C138" s="1" t="s">
        <v>60</v>
      </c>
      <c r="D138" s="1">
        <v>0.186</v>
      </c>
      <c r="E138" s="1" t="s">
        <v>43</v>
      </c>
      <c r="F138" s="1" t="s">
        <v>48</v>
      </c>
      <c r="G138" s="1" t="s">
        <v>44</v>
      </c>
      <c r="H138" s="1" t="s">
        <v>285</v>
      </c>
      <c r="I138" s="2">
        <v>3</v>
      </c>
      <c r="J138" s="3" t="s">
        <v>16</v>
      </c>
      <c r="K138" s="1">
        <v>100.00000000000001</v>
      </c>
      <c r="L138" s="1">
        <v>195</v>
      </c>
      <c r="M138" s="1">
        <v>800</v>
      </c>
      <c r="N138" s="1">
        <v>133.58199999999999</v>
      </c>
      <c r="O138" s="1">
        <v>87.44</v>
      </c>
    </row>
    <row r="139" spans="1:17" x14ac:dyDescent="0.25">
      <c r="A139" s="1" t="s">
        <v>157</v>
      </c>
      <c r="B139" s="1" t="s">
        <v>171</v>
      </c>
      <c r="C139" s="1" t="s">
        <v>60</v>
      </c>
      <c r="D139" s="1">
        <v>0.186</v>
      </c>
      <c r="E139" s="1" t="s">
        <v>43</v>
      </c>
      <c r="F139" s="1" t="s">
        <v>48</v>
      </c>
      <c r="G139" s="1" t="s">
        <v>44</v>
      </c>
      <c r="H139" s="1" t="s">
        <v>285</v>
      </c>
      <c r="I139" s="2">
        <v>3</v>
      </c>
      <c r="J139" s="3" t="s">
        <v>16</v>
      </c>
      <c r="K139" s="1">
        <v>100.00000000000001</v>
      </c>
      <c r="L139" s="1">
        <v>195</v>
      </c>
      <c r="M139" s="1">
        <v>800</v>
      </c>
      <c r="N139" s="1">
        <v>132.30699999999999</v>
      </c>
      <c r="O139" s="1">
        <v>91.263999999999996</v>
      </c>
    </row>
    <row r="140" spans="1:17" x14ac:dyDescent="0.25">
      <c r="A140" s="1" t="s">
        <v>156</v>
      </c>
      <c r="B140" s="1" t="s">
        <v>161</v>
      </c>
      <c r="C140" s="1" t="s">
        <v>60</v>
      </c>
      <c r="D140" s="1">
        <v>0.186</v>
      </c>
      <c r="E140" s="1" t="s">
        <v>43</v>
      </c>
      <c r="F140" s="1" t="s">
        <v>48</v>
      </c>
      <c r="G140" s="1" t="s">
        <v>44</v>
      </c>
      <c r="H140" s="1" t="s">
        <v>285</v>
      </c>
      <c r="I140" s="2">
        <v>4</v>
      </c>
      <c r="J140" s="3" t="s">
        <v>16</v>
      </c>
      <c r="K140" s="1">
        <v>100.00000000000001</v>
      </c>
      <c r="L140" s="1">
        <v>195</v>
      </c>
      <c r="M140" s="1">
        <v>800</v>
      </c>
      <c r="N140" s="1">
        <v>140.33799999999999</v>
      </c>
      <c r="O140" s="1">
        <v>92.921000000000006</v>
      </c>
    </row>
    <row r="141" spans="1:17" x14ac:dyDescent="0.25">
      <c r="A141" s="1" t="s">
        <v>157</v>
      </c>
      <c r="B141" s="1" t="s">
        <v>172</v>
      </c>
      <c r="C141" s="1" t="s">
        <v>60</v>
      </c>
      <c r="D141" s="1">
        <v>0.186</v>
      </c>
      <c r="E141" s="1" t="s">
        <v>43</v>
      </c>
      <c r="F141" s="1" t="s">
        <v>48</v>
      </c>
      <c r="G141" s="1" t="s">
        <v>44</v>
      </c>
      <c r="H141" s="1" t="s">
        <v>285</v>
      </c>
      <c r="I141" s="2">
        <v>4</v>
      </c>
      <c r="J141" s="3" t="s">
        <v>16</v>
      </c>
      <c r="K141" s="1">
        <v>100.00000000000001</v>
      </c>
      <c r="L141" s="1">
        <v>195</v>
      </c>
      <c r="M141" s="1">
        <v>800</v>
      </c>
      <c r="N141" s="1">
        <v>143.779</v>
      </c>
      <c r="O141" s="1">
        <v>91.900999999999996</v>
      </c>
    </row>
    <row r="142" spans="1:17" x14ac:dyDescent="0.25">
      <c r="A142" s="1" t="s">
        <v>156</v>
      </c>
      <c r="B142" s="1" t="s">
        <v>162</v>
      </c>
      <c r="C142" s="1" t="s">
        <v>60</v>
      </c>
      <c r="D142" s="1">
        <v>0.186</v>
      </c>
      <c r="E142" s="1" t="s">
        <v>43</v>
      </c>
      <c r="F142" s="1" t="s">
        <v>48</v>
      </c>
      <c r="G142" s="1" t="s">
        <v>44</v>
      </c>
      <c r="H142" s="1" t="s">
        <v>285</v>
      </c>
      <c r="I142" s="2">
        <v>5</v>
      </c>
      <c r="J142" s="3" t="s">
        <v>16</v>
      </c>
      <c r="K142" s="1">
        <v>80</v>
      </c>
      <c r="L142" s="1">
        <v>195</v>
      </c>
      <c r="M142" s="1">
        <v>800</v>
      </c>
      <c r="N142" s="1">
        <v>134.21899999999999</v>
      </c>
      <c r="O142" s="1">
        <v>107.57899999999999</v>
      </c>
    </row>
    <row r="143" spans="1:17" x14ac:dyDescent="0.25">
      <c r="A143" s="1" t="s">
        <v>157</v>
      </c>
      <c r="B143" s="1" t="s">
        <v>173</v>
      </c>
      <c r="C143" s="1" t="s">
        <v>60</v>
      </c>
      <c r="D143" s="1">
        <v>0.186</v>
      </c>
      <c r="E143" s="1" t="s">
        <v>43</v>
      </c>
      <c r="F143" s="1" t="s">
        <v>48</v>
      </c>
      <c r="G143" s="1" t="s">
        <v>44</v>
      </c>
      <c r="H143" s="1" t="s">
        <v>285</v>
      </c>
      <c r="I143" s="2">
        <v>5</v>
      </c>
      <c r="J143" s="3" t="s">
        <v>16</v>
      </c>
      <c r="K143" s="1">
        <v>80</v>
      </c>
      <c r="L143" s="1">
        <v>195</v>
      </c>
      <c r="M143" s="1">
        <v>800</v>
      </c>
      <c r="N143" s="1">
        <v>130.65</v>
      </c>
      <c r="O143" s="1">
        <v>110.639</v>
      </c>
    </row>
    <row r="144" spans="1:17" x14ac:dyDescent="0.25">
      <c r="A144" s="1" t="s">
        <v>156</v>
      </c>
      <c r="B144" s="1" t="s">
        <v>163</v>
      </c>
      <c r="C144" s="1" t="s">
        <v>60</v>
      </c>
      <c r="D144" s="1">
        <v>0.186</v>
      </c>
      <c r="E144" s="1" t="s">
        <v>43</v>
      </c>
      <c r="F144" s="1" t="s">
        <v>48</v>
      </c>
      <c r="G144" s="1" t="s">
        <v>44</v>
      </c>
      <c r="H144" s="1" t="s">
        <v>285</v>
      </c>
      <c r="I144" s="2">
        <v>6</v>
      </c>
      <c r="J144" s="3" t="s">
        <v>16</v>
      </c>
      <c r="K144">
        <v>233.33199999999999</v>
      </c>
      <c r="L144" s="1">
        <v>195</v>
      </c>
      <c r="M144" s="1">
        <v>800</v>
      </c>
      <c r="N144">
        <v>169.78200000000001</v>
      </c>
      <c r="O144">
        <v>35.435000000000002</v>
      </c>
    </row>
    <row r="145" spans="1:15" x14ac:dyDescent="0.25">
      <c r="A145" s="1" t="s">
        <v>157</v>
      </c>
      <c r="B145" s="1" t="s">
        <v>174</v>
      </c>
      <c r="C145" s="1" t="s">
        <v>60</v>
      </c>
      <c r="D145" s="1">
        <v>0.186</v>
      </c>
      <c r="E145" s="1" t="s">
        <v>43</v>
      </c>
      <c r="F145" s="1" t="s">
        <v>48</v>
      </c>
      <c r="G145" s="1" t="s">
        <v>44</v>
      </c>
      <c r="H145" s="1" t="s">
        <v>285</v>
      </c>
      <c r="I145" s="2">
        <v>6</v>
      </c>
      <c r="J145" s="3" t="s">
        <v>16</v>
      </c>
      <c r="K145">
        <v>233.33199999999999</v>
      </c>
      <c r="L145" s="1">
        <v>195</v>
      </c>
      <c r="M145" s="1">
        <v>800</v>
      </c>
      <c r="N145">
        <v>168.762</v>
      </c>
      <c r="O145">
        <v>34.924999999999997</v>
      </c>
    </row>
    <row r="146" spans="1:15" x14ac:dyDescent="0.25">
      <c r="A146" s="1" t="s">
        <v>156</v>
      </c>
      <c r="B146" s="1" t="s">
        <v>164</v>
      </c>
      <c r="C146" s="1" t="s">
        <v>60</v>
      </c>
      <c r="D146" s="1">
        <v>0.186</v>
      </c>
      <c r="E146" s="1" t="s">
        <v>43</v>
      </c>
      <c r="F146" s="1" t="s">
        <v>48</v>
      </c>
      <c r="G146" s="1" t="s">
        <v>44</v>
      </c>
      <c r="H146" s="1" t="s">
        <v>285</v>
      </c>
      <c r="I146" s="2">
        <v>7</v>
      </c>
      <c r="J146" s="3" t="s">
        <v>16</v>
      </c>
      <c r="K146">
        <v>188.88800000000001</v>
      </c>
      <c r="L146" s="1">
        <v>195</v>
      </c>
      <c r="M146" s="1">
        <v>800</v>
      </c>
      <c r="N146">
        <v>154.10400000000001</v>
      </c>
      <c r="O146">
        <v>37.347000000000001</v>
      </c>
    </row>
    <row r="147" spans="1:15" x14ac:dyDescent="0.25">
      <c r="A147" s="1" t="s">
        <v>157</v>
      </c>
      <c r="B147" s="1" t="s">
        <v>175</v>
      </c>
      <c r="C147" s="1" t="s">
        <v>60</v>
      </c>
      <c r="D147" s="1">
        <v>0.186</v>
      </c>
      <c r="E147" s="1" t="s">
        <v>43</v>
      </c>
      <c r="F147" s="1" t="s">
        <v>48</v>
      </c>
      <c r="G147" s="1" t="s">
        <v>44</v>
      </c>
      <c r="H147" s="1" t="s">
        <v>285</v>
      </c>
      <c r="I147" s="2">
        <v>7</v>
      </c>
      <c r="J147" s="3" t="s">
        <v>16</v>
      </c>
      <c r="K147">
        <v>188.88800000000001</v>
      </c>
      <c r="L147" s="1">
        <v>195</v>
      </c>
      <c r="M147" s="1">
        <v>800</v>
      </c>
      <c r="N147">
        <v>151.42699999999999</v>
      </c>
      <c r="O147">
        <v>40.787999999999997</v>
      </c>
    </row>
    <row r="148" spans="1:15" x14ac:dyDescent="0.25">
      <c r="A148" s="1" t="s">
        <v>156</v>
      </c>
      <c r="B148" s="1" t="s">
        <v>165</v>
      </c>
      <c r="C148" s="1" t="s">
        <v>60</v>
      </c>
      <c r="D148" s="1">
        <v>0.186</v>
      </c>
      <c r="E148" s="1" t="s">
        <v>43</v>
      </c>
      <c r="F148" s="1" t="s">
        <v>48</v>
      </c>
      <c r="G148" s="1" t="s">
        <v>44</v>
      </c>
      <c r="H148" s="1" t="s">
        <v>285</v>
      </c>
      <c r="I148" s="2">
        <v>8</v>
      </c>
      <c r="J148" s="3" t="s">
        <v>16</v>
      </c>
      <c r="K148">
        <v>144.44399999999999</v>
      </c>
      <c r="L148" s="1">
        <v>195</v>
      </c>
      <c r="M148" s="1">
        <v>800</v>
      </c>
      <c r="N148">
        <v>123.895</v>
      </c>
      <c r="O148">
        <v>46.014000000000003</v>
      </c>
    </row>
    <row r="149" spans="1:15" x14ac:dyDescent="0.25">
      <c r="A149" s="1" t="s">
        <v>157</v>
      </c>
      <c r="B149" s="1" t="s">
        <v>176</v>
      </c>
      <c r="C149" s="1" t="s">
        <v>60</v>
      </c>
      <c r="D149" s="1">
        <v>0.186</v>
      </c>
      <c r="E149" s="1" t="s">
        <v>43</v>
      </c>
      <c r="F149" s="1" t="s">
        <v>48</v>
      </c>
      <c r="G149" s="1" t="s">
        <v>44</v>
      </c>
      <c r="H149" s="1" t="s">
        <v>285</v>
      </c>
      <c r="I149" s="2">
        <v>8</v>
      </c>
      <c r="J149" s="3" t="s">
        <v>16</v>
      </c>
      <c r="K149">
        <v>144.44399999999999</v>
      </c>
      <c r="L149" s="1">
        <v>195</v>
      </c>
      <c r="M149" s="1">
        <v>800</v>
      </c>
      <c r="N149">
        <v>121.218</v>
      </c>
      <c r="O149">
        <v>49.838000000000001</v>
      </c>
    </row>
    <row r="150" spans="1:15" x14ac:dyDescent="0.25">
      <c r="A150" s="1" t="s">
        <v>156</v>
      </c>
      <c r="B150" s="1" t="s">
        <v>166</v>
      </c>
      <c r="C150" s="1" t="s">
        <v>60</v>
      </c>
      <c r="D150" s="1">
        <v>0.186</v>
      </c>
      <c r="E150" s="1" t="s">
        <v>43</v>
      </c>
      <c r="F150" s="1" t="s">
        <v>48</v>
      </c>
      <c r="G150" s="1" t="s">
        <v>44</v>
      </c>
      <c r="H150" s="1" t="s">
        <v>285</v>
      </c>
      <c r="I150" s="2">
        <v>9</v>
      </c>
      <c r="J150" s="3" t="s">
        <v>16</v>
      </c>
      <c r="K150" s="1">
        <v>100.00000000000001</v>
      </c>
      <c r="L150" s="1">
        <v>195</v>
      </c>
      <c r="M150" s="1">
        <v>800</v>
      </c>
      <c r="N150" s="1">
        <v>126.699</v>
      </c>
      <c r="O150" s="1">
        <v>80.685000000000002</v>
      </c>
    </row>
    <row r="151" spans="1:15" x14ac:dyDescent="0.25">
      <c r="A151" s="1" t="s">
        <v>157</v>
      </c>
      <c r="B151" s="1" t="s">
        <v>177</v>
      </c>
      <c r="C151" s="1" t="s">
        <v>60</v>
      </c>
      <c r="D151" s="1">
        <v>0.186</v>
      </c>
      <c r="E151" s="1" t="s">
        <v>43</v>
      </c>
      <c r="F151" s="1" t="s">
        <v>48</v>
      </c>
      <c r="G151" s="1" t="s">
        <v>44</v>
      </c>
      <c r="H151" s="1" t="s">
        <v>285</v>
      </c>
      <c r="I151" s="2">
        <v>9</v>
      </c>
      <c r="J151" s="3" t="s">
        <v>16</v>
      </c>
      <c r="K151" s="1">
        <v>100.00000000000001</v>
      </c>
      <c r="L151" s="1">
        <v>195</v>
      </c>
      <c r="M151" s="1">
        <v>800</v>
      </c>
      <c r="N151" s="1">
        <v>124.78700000000001</v>
      </c>
      <c r="O151" s="1">
        <v>81.576999999999998</v>
      </c>
    </row>
    <row r="152" spans="1:15" x14ac:dyDescent="0.25">
      <c r="A152" s="1" t="s">
        <v>156</v>
      </c>
      <c r="B152" s="1" t="s">
        <v>167</v>
      </c>
      <c r="C152" s="1" t="s">
        <v>60</v>
      </c>
      <c r="D152" s="1">
        <v>0.186</v>
      </c>
      <c r="E152" s="1" t="s">
        <v>43</v>
      </c>
      <c r="F152" s="1" t="s">
        <v>48</v>
      </c>
      <c r="G152" s="1" t="s">
        <v>44</v>
      </c>
      <c r="H152" s="1" t="s">
        <v>285</v>
      </c>
      <c r="I152" s="2">
        <v>10</v>
      </c>
      <c r="J152" s="3" t="s">
        <v>16</v>
      </c>
      <c r="K152" s="1">
        <v>80</v>
      </c>
      <c r="L152" s="1">
        <v>195</v>
      </c>
      <c r="M152" s="1">
        <v>800</v>
      </c>
      <c r="N152" s="1">
        <v>130.523</v>
      </c>
      <c r="O152" s="1">
        <v>110.129</v>
      </c>
    </row>
    <row r="153" spans="1:15" x14ac:dyDescent="0.25">
      <c r="A153" s="1" t="s">
        <v>157</v>
      </c>
      <c r="B153" s="1" t="s">
        <v>178</v>
      </c>
      <c r="C153" s="1" t="s">
        <v>60</v>
      </c>
      <c r="D153" s="1">
        <v>0.186</v>
      </c>
      <c r="E153" s="1" t="s">
        <v>43</v>
      </c>
      <c r="F153" s="1" t="s">
        <v>48</v>
      </c>
      <c r="G153" s="1" t="s">
        <v>44</v>
      </c>
      <c r="H153" s="1" t="s">
        <v>285</v>
      </c>
      <c r="I153" s="2">
        <v>10</v>
      </c>
      <c r="J153" s="3" t="s">
        <v>16</v>
      </c>
      <c r="K153" s="1">
        <v>80</v>
      </c>
      <c r="L153" s="1">
        <v>195</v>
      </c>
      <c r="M153" s="1">
        <v>800</v>
      </c>
      <c r="N153" s="1">
        <v>132.81700000000001</v>
      </c>
      <c r="O153" s="1">
        <v>110.89400000000001</v>
      </c>
    </row>
    <row r="154" spans="1:15" x14ac:dyDescent="0.25">
      <c r="A154" s="1" t="s">
        <v>156</v>
      </c>
      <c r="B154" s="1" t="s">
        <v>168</v>
      </c>
      <c r="C154" s="1" t="s">
        <v>60</v>
      </c>
      <c r="D154" s="1">
        <v>0.186</v>
      </c>
      <c r="E154" s="1" t="s">
        <v>43</v>
      </c>
      <c r="F154" s="1" t="s">
        <v>48</v>
      </c>
      <c r="G154" s="1" t="s">
        <v>44</v>
      </c>
      <c r="H154" s="1" t="s">
        <v>285</v>
      </c>
      <c r="I154" s="2">
        <v>11</v>
      </c>
      <c r="J154" s="3" t="s">
        <v>16</v>
      </c>
      <c r="K154" s="1">
        <v>80</v>
      </c>
      <c r="L154" s="1">
        <v>195</v>
      </c>
      <c r="M154" s="1">
        <v>800</v>
      </c>
      <c r="N154" s="1">
        <v>131.92500000000001</v>
      </c>
      <c r="O154" s="1">
        <v>109.23699999999999</v>
      </c>
    </row>
    <row r="155" spans="1:15" x14ac:dyDescent="0.25">
      <c r="A155" s="1" t="s">
        <v>157</v>
      </c>
      <c r="B155" s="1" t="s">
        <v>179</v>
      </c>
      <c r="C155" s="1" t="s">
        <v>60</v>
      </c>
      <c r="D155" s="1">
        <v>0.186</v>
      </c>
      <c r="E155" s="1" t="s">
        <v>43</v>
      </c>
      <c r="F155" s="1" t="s">
        <v>48</v>
      </c>
      <c r="G155" s="1" t="s">
        <v>44</v>
      </c>
      <c r="H155" s="1" t="s">
        <v>285</v>
      </c>
      <c r="I155" s="2">
        <v>11</v>
      </c>
      <c r="J155" s="3" t="s">
        <v>16</v>
      </c>
      <c r="K155" s="1">
        <v>80</v>
      </c>
      <c r="L155" s="1">
        <v>195</v>
      </c>
      <c r="M155" s="1">
        <v>800</v>
      </c>
      <c r="N155" s="1">
        <v>130.14099999999999</v>
      </c>
      <c r="O155" s="1">
        <v>108.47199999999999</v>
      </c>
    </row>
    <row r="156" spans="1:15" x14ac:dyDescent="0.25">
      <c r="A156" s="6" t="s">
        <v>180</v>
      </c>
      <c r="B156" s="6" t="s">
        <v>181</v>
      </c>
      <c r="C156" s="6" t="s">
        <v>60</v>
      </c>
      <c r="D156" s="1">
        <v>0.186</v>
      </c>
      <c r="E156" s="6" t="s">
        <v>47</v>
      </c>
      <c r="F156" s="6" t="s">
        <v>48</v>
      </c>
      <c r="G156" s="6" t="s">
        <v>44</v>
      </c>
      <c r="H156" s="1" t="s">
        <v>285</v>
      </c>
      <c r="I156" s="6">
        <v>1</v>
      </c>
      <c r="J156" s="7" t="s">
        <v>16</v>
      </c>
      <c r="K156" s="6">
        <v>254.16070044457155</v>
      </c>
      <c r="L156" s="6">
        <v>195</v>
      </c>
      <c r="M156" s="6">
        <v>800</v>
      </c>
      <c r="N156" s="6">
        <v>181.39</v>
      </c>
      <c r="O156" s="6">
        <v>28.355</v>
      </c>
    </row>
    <row r="157" spans="1:15" x14ac:dyDescent="0.25">
      <c r="A157" s="6" t="s">
        <v>198</v>
      </c>
      <c r="B157" s="6" t="s">
        <v>199</v>
      </c>
      <c r="C157" s="6" t="s">
        <v>60</v>
      </c>
      <c r="D157" s="1">
        <v>0.186</v>
      </c>
      <c r="E157" s="6" t="s">
        <v>47</v>
      </c>
      <c r="F157" s="6" t="s">
        <v>48</v>
      </c>
      <c r="G157" s="6" t="s">
        <v>44</v>
      </c>
      <c r="H157" s="1" t="s">
        <v>285</v>
      </c>
      <c r="I157" s="6">
        <v>1</v>
      </c>
      <c r="J157" s="7" t="s">
        <v>16</v>
      </c>
      <c r="K157" s="6">
        <v>254.16070044457155</v>
      </c>
      <c r="L157" s="6">
        <v>195</v>
      </c>
      <c r="M157" s="6">
        <v>800</v>
      </c>
      <c r="N157" s="6">
        <v>185.078</v>
      </c>
      <c r="O157" s="6">
        <v>28.17</v>
      </c>
    </row>
    <row r="158" spans="1:15" x14ac:dyDescent="0.25">
      <c r="A158" s="6" t="s">
        <v>180</v>
      </c>
      <c r="B158" s="6" t="s">
        <v>182</v>
      </c>
      <c r="C158" s="6" t="s">
        <v>60</v>
      </c>
      <c r="D158" s="1">
        <v>0.186</v>
      </c>
      <c r="E158" s="6" t="s">
        <v>47</v>
      </c>
      <c r="F158" s="6" t="s">
        <v>48</v>
      </c>
      <c r="G158" s="6" t="s">
        <v>44</v>
      </c>
      <c r="H158" s="1" t="s">
        <v>285</v>
      </c>
      <c r="I158" s="6">
        <v>2</v>
      </c>
      <c r="J158" s="7" t="s">
        <v>16</v>
      </c>
      <c r="K158" s="6">
        <v>254.16070044457155</v>
      </c>
      <c r="L158" s="6">
        <v>179.2</v>
      </c>
      <c r="M158" s="6">
        <v>800</v>
      </c>
      <c r="N158" s="6">
        <v>170.827</v>
      </c>
      <c r="O158" s="6">
        <v>25.713999999999999</v>
      </c>
    </row>
    <row r="159" spans="1:15" x14ac:dyDescent="0.25">
      <c r="A159" s="6" t="s">
        <v>198</v>
      </c>
      <c r="B159" s="6" t="s">
        <v>200</v>
      </c>
      <c r="C159" s="6" t="s">
        <v>60</v>
      </c>
      <c r="D159" s="1">
        <v>0.186</v>
      </c>
      <c r="E159" s="6" t="s">
        <v>47</v>
      </c>
      <c r="F159" s="6" t="s">
        <v>48</v>
      </c>
      <c r="G159" s="6" t="s">
        <v>44</v>
      </c>
      <c r="H159" s="1" t="s">
        <v>285</v>
      </c>
      <c r="I159" s="6">
        <v>2</v>
      </c>
      <c r="J159" s="7" t="s">
        <v>16</v>
      </c>
      <c r="K159" s="6">
        <v>254.16070044457155</v>
      </c>
      <c r="L159" s="6">
        <v>179.2</v>
      </c>
      <c r="M159" s="6">
        <v>800</v>
      </c>
      <c r="N159" s="6">
        <v>179.46899999999999</v>
      </c>
      <c r="O159" s="6">
        <v>26.003</v>
      </c>
    </row>
    <row r="160" spans="1:15" x14ac:dyDescent="0.25">
      <c r="A160" s="6" t="s">
        <v>180</v>
      </c>
      <c r="B160" s="6" t="s">
        <v>183</v>
      </c>
      <c r="C160" s="6" t="s">
        <v>60</v>
      </c>
      <c r="D160" s="1">
        <v>0.186</v>
      </c>
      <c r="E160" s="6" t="s">
        <v>47</v>
      </c>
      <c r="F160" s="6" t="s">
        <v>48</v>
      </c>
      <c r="G160" s="6" t="s">
        <v>44</v>
      </c>
      <c r="H160" s="1" t="s">
        <v>285</v>
      </c>
      <c r="I160" s="6">
        <v>3</v>
      </c>
      <c r="J160" s="7" t="s">
        <v>16</v>
      </c>
      <c r="K160" s="6">
        <v>245.86361491020244</v>
      </c>
      <c r="L160" s="6">
        <v>195</v>
      </c>
      <c r="M160" s="6">
        <v>800</v>
      </c>
      <c r="N160" s="6">
        <v>185.69900000000001</v>
      </c>
      <c r="O160" s="6">
        <v>30.44</v>
      </c>
    </row>
    <row r="161" spans="1:15" x14ac:dyDescent="0.25">
      <c r="A161" s="6" t="s">
        <v>198</v>
      </c>
      <c r="B161" s="6" t="s">
        <v>201</v>
      </c>
      <c r="C161" s="6" t="s">
        <v>60</v>
      </c>
      <c r="D161" s="1">
        <v>0.186</v>
      </c>
      <c r="E161" s="6" t="s">
        <v>47</v>
      </c>
      <c r="F161" s="6" t="s">
        <v>48</v>
      </c>
      <c r="G161" s="6" t="s">
        <v>44</v>
      </c>
      <c r="H161" s="1" t="s">
        <v>285</v>
      </c>
      <c r="I161" s="6">
        <v>3</v>
      </c>
      <c r="J161" s="7" t="s">
        <v>16</v>
      </c>
      <c r="K161" s="6">
        <v>245.86361491020244</v>
      </c>
      <c r="L161" s="6">
        <v>195</v>
      </c>
      <c r="M161" s="6">
        <v>800</v>
      </c>
      <c r="N161" s="6">
        <v>186.73500000000001</v>
      </c>
      <c r="O161" s="6">
        <v>29.189</v>
      </c>
    </row>
    <row r="162" spans="1:15" x14ac:dyDescent="0.25">
      <c r="A162" s="6" t="s">
        <v>180</v>
      </c>
      <c r="B162" s="6" t="s">
        <v>184</v>
      </c>
      <c r="C162" s="6" t="s">
        <v>60</v>
      </c>
      <c r="D162" s="1">
        <v>0.186</v>
      </c>
      <c r="E162" s="6" t="s">
        <v>47</v>
      </c>
      <c r="F162" s="6" t="s">
        <v>48</v>
      </c>
      <c r="G162" s="6" t="s">
        <v>44</v>
      </c>
      <c r="H162" s="1" t="s">
        <v>285</v>
      </c>
      <c r="I162" s="6">
        <v>4</v>
      </c>
      <c r="J162" s="7" t="s">
        <v>16</v>
      </c>
      <c r="K162" s="6">
        <v>237.59778471536811</v>
      </c>
      <c r="L162" s="6">
        <v>195</v>
      </c>
      <c r="M162" s="6">
        <v>800</v>
      </c>
      <c r="N162" s="6">
        <v>182.64099999999999</v>
      </c>
      <c r="O162" s="6">
        <v>30.579000000000001</v>
      </c>
    </row>
    <row r="163" spans="1:15" x14ac:dyDescent="0.25">
      <c r="A163" s="6" t="s">
        <v>198</v>
      </c>
      <c r="B163" s="6" t="s">
        <v>202</v>
      </c>
      <c r="C163" s="6" t="s">
        <v>60</v>
      </c>
      <c r="D163" s="1">
        <v>0.186</v>
      </c>
      <c r="E163" s="6" t="s">
        <v>47</v>
      </c>
      <c r="F163" s="6" t="s">
        <v>48</v>
      </c>
      <c r="G163" s="6" t="s">
        <v>44</v>
      </c>
      <c r="H163" s="1" t="s">
        <v>285</v>
      </c>
      <c r="I163" s="6">
        <v>4</v>
      </c>
      <c r="J163" s="7" t="s">
        <v>16</v>
      </c>
      <c r="K163" s="6">
        <v>237.59778471536811</v>
      </c>
      <c r="L163" s="6">
        <v>195</v>
      </c>
      <c r="M163" s="6">
        <v>800</v>
      </c>
      <c r="N163" s="6">
        <v>186.607</v>
      </c>
      <c r="O163" s="6">
        <v>30.591000000000001</v>
      </c>
    </row>
    <row r="164" spans="1:15" x14ac:dyDescent="0.25">
      <c r="A164" s="6" t="s">
        <v>180</v>
      </c>
      <c r="B164" s="6" t="s">
        <v>185</v>
      </c>
      <c r="C164" s="6" t="s">
        <v>60</v>
      </c>
      <c r="D164" s="1">
        <v>0.186</v>
      </c>
      <c r="E164" s="6" t="s">
        <v>47</v>
      </c>
      <c r="F164" s="6" t="s">
        <v>48</v>
      </c>
      <c r="G164" s="6" t="s">
        <v>44</v>
      </c>
      <c r="H164" s="1" t="s">
        <v>285</v>
      </c>
      <c r="I164" s="6">
        <v>5</v>
      </c>
      <c r="J164" s="7" t="s">
        <v>16</v>
      </c>
      <c r="K164" s="6">
        <v>229.36658899083255</v>
      </c>
      <c r="L164" s="6">
        <v>195</v>
      </c>
      <c r="M164" s="6">
        <v>800</v>
      </c>
      <c r="N164" s="6">
        <v>172.078</v>
      </c>
      <c r="O164" s="6">
        <v>27.382000000000001</v>
      </c>
    </row>
    <row r="165" spans="1:15" x14ac:dyDescent="0.25">
      <c r="A165" s="6" t="s">
        <v>198</v>
      </c>
      <c r="B165" s="6" t="s">
        <v>203</v>
      </c>
      <c r="C165" s="6" t="s">
        <v>60</v>
      </c>
      <c r="D165" s="1">
        <v>0.186</v>
      </c>
      <c r="E165" s="6" t="s">
        <v>47</v>
      </c>
      <c r="F165" s="6" t="s">
        <v>48</v>
      </c>
      <c r="G165" s="6" t="s">
        <v>44</v>
      </c>
      <c r="H165" s="1" t="s">
        <v>285</v>
      </c>
      <c r="I165" s="6">
        <v>5</v>
      </c>
      <c r="J165" s="7" t="s">
        <v>16</v>
      </c>
      <c r="K165" s="6">
        <v>229.36658899083255</v>
      </c>
      <c r="L165" s="6">
        <v>195</v>
      </c>
      <c r="M165" s="6">
        <v>800</v>
      </c>
      <c r="N165" s="6">
        <v>178.83199999999999</v>
      </c>
      <c r="O165" s="6">
        <v>31.356000000000002</v>
      </c>
    </row>
    <row r="166" spans="1:15" x14ac:dyDescent="0.25">
      <c r="A166" s="6" t="s">
        <v>180</v>
      </c>
      <c r="B166" s="6" t="s">
        <v>186</v>
      </c>
      <c r="C166" s="6" t="s">
        <v>60</v>
      </c>
      <c r="D166" s="1">
        <v>0.186</v>
      </c>
      <c r="E166" s="6" t="s">
        <v>47</v>
      </c>
      <c r="F166" s="6" t="s">
        <v>48</v>
      </c>
      <c r="G166" s="6" t="s">
        <v>44</v>
      </c>
      <c r="H166" s="1" t="s">
        <v>285</v>
      </c>
      <c r="I166" s="6">
        <v>6</v>
      </c>
      <c r="J166" s="7" t="s">
        <v>16</v>
      </c>
      <c r="K166" s="6">
        <v>221.17389463413082</v>
      </c>
      <c r="L166" s="6">
        <v>195</v>
      </c>
      <c r="M166" s="6">
        <v>800</v>
      </c>
      <c r="N166" s="6">
        <v>168.125</v>
      </c>
      <c r="O166" s="6">
        <v>37.347000000000001</v>
      </c>
    </row>
    <row r="167" spans="1:15" x14ac:dyDescent="0.25">
      <c r="A167" s="6" t="s">
        <v>198</v>
      </c>
      <c r="B167" s="6" t="s">
        <v>204</v>
      </c>
      <c r="C167" s="6" t="s">
        <v>60</v>
      </c>
      <c r="D167" s="1">
        <v>0.186</v>
      </c>
      <c r="E167" s="6" t="s">
        <v>47</v>
      </c>
      <c r="F167" s="6" t="s">
        <v>48</v>
      </c>
      <c r="G167" s="6" t="s">
        <v>44</v>
      </c>
      <c r="H167" s="1" t="s">
        <v>285</v>
      </c>
      <c r="I167" s="6">
        <v>6</v>
      </c>
      <c r="J167" s="7" t="s">
        <v>16</v>
      </c>
      <c r="K167" s="6">
        <v>221.17389463413082</v>
      </c>
      <c r="L167" s="6">
        <v>195</v>
      </c>
      <c r="M167" s="6">
        <v>800</v>
      </c>
      <c r="N167" s="6">
        <v>168.50700000000001</v>
      </c>
      <c r="O167" s="6">
        <v>36.326999999999998</v>
      </c>
    </row>
    <row r="168" spans="1:15" x14ac:dyDescent="0.25">
      <c r="A168" s="6" t="s">
        <v>180</v>
      </c>
      <c r="B168" s="6" t="s">
        <v>187</v>
      </c>
      <c r="C168" s="6" t="s">
        <v>60</v>
      </c>
      <c r="D168" s="1">
        <v>0.186</v>
      </c>
      <c r="E168" s="6" t="s">
        <v>47</v>
      </c>
      <c r="F168" s="6" t="s">
        <v>48</v>
      </c>
      <c r="G168" s="6" t="s">
        <v>44</v>
      </c>
      <c r="H168" s="1" t="s">
        <v>285</v>
      </c>
      <c r="I168" s="6">
        <v>7</v>
      </c>
      <c r="J168" s="7" t="s">
        <v>16</v>
      </c>
      <c r="K168" s="6">
        <v>213.02414386325015</v>
      </c>
      <c r="L168" s="6">
        <v>195</v>
      </c>
      <c r="M168" s="6">
        <v>800</v>
      </c>
      <c r="N168" s="6">
        <v>167.61500000000001</v>
      </c>
      <c r="O168" s="6">
        <v>35.817</v>
      </c>
    </row>
    <row r="169" spans="1:15" x14ac:dyDescent="0.25">
      <c r="A169" s="6" t="s">
        <v>198</v>
      </c>
      <c r="B169" s="6" t="s">
        <v>205</v>
      </c>
      <c r="C169" s="6" t="s">
        <v>60</v>
      </c>
      <c r="D169" s="1">
        <v>0.186</v>
      </c>
      <c r="E169" s="6" t="s">
        <v>47</v>
      </c>
      <c r="F169" s="6" t="s">
        <v>48</v>
      </c>
      <c r="G169" s="6" t="s">
        <v>44</v>
      </c>
      <c r="H169" s="1" t="s">
        <v>285</v>
      </c>
      <c r="I169" s="6">
        <v>7</v>
      </c>
      <c r="J169" s="7" t="s">
        <v>16</v>
      </c>
      <c r="K169" s="6">
        <v>213.02414386325015</v>
      </c>
      <c r="L169" s="6">
        <v>195</v>
      </c>
      <c r="M169" s="6">
        <v>800</v>
      </c>
      <c r="N169" s="6">
        <v>165.703</v>
      </c>
      <c r="O169" s="6">
        <v>32.758000000000003</v>
      </c>
    </row>
    <row r="170" spans="1:15" x14ac:dyDescent="0.25">
      <c r="A170" s="6" t="s">
        <v>180</v>
      </c>
      <c r="B170" s="6" t="s">
        <v>188</v>
      </c>
      <c r="C170" s="6" t="s">
        <v>60</v>
      </c>
      <c r="D170" s="1">
        <v>0.186</v>
      </c>
      <c r="E170" s="6" t="s">
        <v>47</v>
      </c>
      <c r="F170" s="6" t="s">
        <v>48</v>
      </c>
      <c r="G170" s="6" t="s">
        <v>44</v>
      </c>
      <c r="H170" s="1" t="s">
        <v>285</v>
      </c>
      <c r="I170" s="6">
        <v>8</v>
      </c>
      <c r="J170" s="7" t="s">
        <v>16</v>
      </c>
      <c r="K170" s="6">
        <v>208.9669434951474</v>
      </c>
      <c r="L170" s="6">
        <v>195</v>
      </c>
      <c r="M170" s="6">
        <v>800</v>
      </c>
      <c r="N170" s="6">
        <v>164.68299999999999</v>
      </c>
      <c r="O170" s="6">
        <v>38.622</v>
      </c>
    </row>
    <row r="171" spans="1:15" x14ac:dyDescent="0.25">
      <c r="A171" s="6" t="s">
        <v>198</v>
      </c>
      <c r="B171" s="6" t="s">
        <v>206</v>
      </c>
      <c r="C171" s="6" t="s">
        <v>60</v>
      </c>
      <c r="D171" s="1">
        <v>0.186</v>
      </c>
      <c r="E171" s="6" t="s">
        <v>47</v>
      </c>
      <c r="F171" s="6" t="s">
        <v>48</v>
      </c>
      <c r="G171" s="6" t="s">
        <v>44</v>
      </c>
      <c r="H171" s="1" t="s">
        <v>285</v>
      </c>
      <c r="I171" s="6">
        <v>8</v>
      </c>
      <c r="J171" s="7" t="s">
        <v>16</v>
      </c>
      <c r="K171" s="6">
        <v>208.9669434951474</v>
      </c>
      <c r="L171" s="6">
        <v>195</v>
      </c>
      <c r="M171" s="6">
        <v>800</v>
      </c>
      <c r="N171" s="6">
        <v>153.976</v>
      </c>
      <c r="O171" s="6">
        <v>34.67</v>
      </c>
    </row>
    <row r="172" spans="1:15" x14ac:dyDescent="0.25">
      <c r="A172" s="6" t="s">
        <v>180</v>
      </c>
      <c r="B172" s="6" t="s">
        <v>189</v>
      </c>
      <c r="C172" s="6" t="s">
        <v>60</v>
      </c>
      <c r="D172" s="1">
        <v>0.186</v>
      </c>
      <c r="E172" s="6" t="s">
        <v>47</v>
      </c>
      <c r="F172" s="6" t="s">
        <v>48</v>
      </c>
      <c r="G172" s="6" t="s">
        <v>44</v>
      </c>
      <c r="H172" s="1" t="s">
        <v>285</v>
      </c>
      <c r="I172" s="6">
        <v>9</v>
      </c>
      <c r="J172" s="7" t="s">
        <v>16</v>
      </c>
      <c r="K172" s="6">
        <v>204.92246033173816</v>
      </c>
      <c r="L172" s="6">
        <v>195</v>
      </c>
      <c r="M172" s="6">
        <v>800</v>
      </c>
      <c r="N172" s="6">
        <v>155.506</v>
      </c>
      <c r="O172" s="6">
        <v>36.326999999999998</v>
      </c>
    </row>
    <row r="173" spans="1:15" x14ac:dyDescent="0.25">
      <c r="A173" s="6" t="s">
        <v>198</v>
      </c>
      <c r="B173" s="6" t="s">
        <v>207</v>
      </c>
      <c r="C173" s="6" t="s">
        <v>60</v>
      </c>
      <c r="D173" s="1">
        <v>0.186</v>
      </c>
      <c r="E173" s="6" t="s">
        <v>47</v>
      </c>
      <c r="F173" s="6" t="s">
        <v>48</v>
      </c>
      <c r="G173" s="6" t="s">
        <v>44</v>
      </c>
      <c r="H173" s="1" t="s">
        <v>285</v>
      </c>
      <c r="I173" s="6">
        <v>9</v>
      </c>
      <c r="J173" s="7" t="s">
        <v>16</v>
      </c>
      <c r="K173" s="6">
        <v>204.92246033173816</v>
      </c>
      <c r="L173" s="6">
        <v>195</v>
      </c>
      <c r="M173" s="6">
        <v>800</v>
      </c>
      <c r="N173" s="6">
        <v>158.05500000000001</v>
      </c>
      <c r="O173" s="6">
        <v>35.052999999999997</v>
      </c>
    </row>
    <row r="174" spans="1:15" x14ac:dyDescent="0.25">
      <c r="A174" s="6" t="s">
        <v>180</v>
      </c>
      <c r="B174" s="6" t="s">
        <v>190</v>
      </c>
      <c r="C174" s="6" t="s">
        <v>60</v>
      </c>
      <c r="D174" s="1">
        <v>0.186</v>
      </c>
      <c r="E174" s="6" t="s">
        <v>47</v>
      </c>
      <c r="F174" s="6" t="s">
        <v>48</v>
      </c>
      <c r="G174" s="6" t="s">
        <v>44</v>
      </c>
      <c r="H174" s="1" t="s">
        <v>285</v>
      </c>
      <c r="I174" s="6">
        <v>10</v>
      </c>
      <c r="J174" s="7" t="s">
        <v>16</v>
      </c>
      <c r="K174" s="6">
        <v>108.67889997639378</v>
      </c>
      <c r="L174" s="6">
        <v>195</v>
      </c>
      <c r="M174" s="6">
        <v>800</v>
      </c>
      <c r="N174" s="6">
        <v>126.444</v>
      </c>
      <c r="O174" s="6">
        <v>81.194000000000003</v>
      </c>
    </row>
    <row r="175" spans="1:15" x14ac:dyDescent="0.25">
      <c r="A175" s="6" t="s">
        <v>198</v>
      </c>
      <c r="B175" s="6" t="s">
        <v>208</v>
      </c>
      <c r="C175" s="6" t="s">
        <v>60</v>
      </c>
      <c r="D175" s="1">
        <v>0.186</v>
      </c>
      <c r="E175" s="6" t="s">
        <v>47</v>
      </c>
      <c r="F175" s="6" t="s">
        <v>48</v>
      </c>
      <c r="G175" s="6" t="s">
        <v>44</v>
      </c>
      <c r="H175" s="1" t="s">
        <v>285</v>
      </c>
      <c r="I175" s="6">
        <v>10</v>
      </c>
      <c r="J175" s="7" t="s">
        <v>16</v>
      </c>
      <c r="K175" s="6">
        <v>108.67889997639378</v>
      </c>
      <c r="L175" s="6">
        <v>195</v>
      </c>
      <c r="M175" s="6">
        <v>800</v>
      </c>
      <c r="N175" s="6">
        <v>122.748</v>
      </c>
      <c r="O175" s="6">
        <v>81.448999999999998</v>
      </c>
    </row>
    <row r="176" spans="1:15" x14ac:dyDescent="0.25">
      <c r="A176" s="6" t="s">
        <v>180</v>
      </c>
      <c r="B176" s="6" t="s">
        <v>191</v>
      </c>
      <c r="C176" s="6" t="s">
        <v>60</v>
      </c>
      <c r="D176" s="1">
        <v>0.186</v>
      </c>
      <c r="E176" s="6" t="s">
        <v>47</v>
      </c>
      <c r="F176" s="6" t="s">
        <v>48</v>
      </c>
      <c r="G176" s="6" t="s">
        <v>44</v>
      </c>
      <c r="H176" s="1" t="s">
        <v>285</v>
      </c>
      <c r="I176" s="6">
        <v>11</v>
      </c>
      <c r="J176" s="7" t="s">
        <v>16</v>
      </c>
      <c r="K176" s="6">
        <v>200.89146246865926</v>
      </c>
      <c r="L176" s="6">
        <v>195</v>
      </c>
      <c r="M176" s="6">
        <v>800</v>
      </c>
      <c r="N176" s="6">
        <v>152.702</v>
      </c>
      <c r="O176" s="6">
        <v>36.326999999999998</v>
      </c>
    </row>
    <row r="177" spans="1:15" x14ac:dyDescent="0.25">
      <c r="A177" s="6" t="s">
        <v>198</v>
      </c>
      <c r="B177" s="6" t="s">
        <v>209</v>
      </c>
      <c r="C177" s="6" t="s">
        <v>60</v>
      </c>
      <c r="D177" s="1">
        <v>0.186</v>
      </c>
      <c r="E177" s="6" t="s">
        <v>47</v>
      </c>
      <c r="F177" s="6" t="s">
        <v>48</v>
      </c>
      <c r="G177" s="6" t="s">
        <v>44</v>
      </c>
      <c r="H177" s="1" t="s">
        <v>285</v>
      </c>
      <c r="I177" s="6">
        <v>11</v>
      </c>
      <c r="J177" s="7" t="s">
        <v>16</v>
      </c>
      <c r="K177" s="6">
        <v>200.89146246865926</v>
      </c>
      <c r="L177" s="6">
        <v>195</v>
      </c>
      <c r="M177" s="6">
        <v>800</v>
      </c>
      <c r="N177" s="6">
        <v>155.88800000000001</v>
      </c>
      <c r="O177" s="6">
        <v>35.052999999999997</v>
      </c>
    </row>
    <row r="178" spans="1:15" x14ac:dyDescent="0.25">
      <c r="A178" s="6" t="s">
        <v>180</v>
      </c>
      <c r="B178" s="6" t="s">
        <v>192</v>
      </c>
      <c r="C178" s="6" t="s">
        <v>60</v>
      </c>
      <c r="D178" s="1">
        <v>0.186</v>
      </c>
      <c r="E178" s="6" t="s">
        <v>47</v>
      </c>
      <c r="F178" s="6" t="s">
        <v>48</v>
      </c>
      <c r="G178" s="6" t="s">
        <v>44</v>
      </c>
      <c r="H178" s="1" t="s">
        <v>285</v>
      </c>
      <c r="I178" s="6">
        <v>12</v>
      </c>
      <c r="J178" s="7" t="s">
        <v>16</v>
      </c>
      <c r="K178" s="6">
        <v>196.87477823950917</v>
      </c>
      <c r="L178" s="6">
        <v>195</v>
      </c>
      <c r="M178" s="6">
        <v>800</v>
      </c>
      <c r="N178" s="6">
        <v>156.52600000000001</v>
      </c>
      <c r="O178" s="6">
        <v>39.896000000000001</v>
      </c>
    </row>
    <row r="179" spans="1:15" x14ac:dyDescent="0.25">
      <c r="A179" s="6" t="s">
        <v>198</v>
      </c>
      <c r="B179" s="6" t="s">
        <v>210</v>
      </c>
      <c r="C179" s="6" t="s">
        <v>60</v>
      </c>
      <c r="D179" s="1">
        <v>0.186</v>
      </c>
      <c r="E179" s="6" t="s">
        <v>47</v>
      </c>
      <c r="F179" s="6" t="s">
        <v>48</v>
      </c>
      <c r="G179" s="6" t="s">
        <v>44</v>
      </c>
      <c r="H179" s="1" t="s">
        <v>285</v>
      </c>
      <c r="I179" s="6">
        <v>12</v>
      </c>
      <c r="J179" s="7" t="s">
        <v>16</v>
      </c>
      <c r="K179" s="6">
        <v>196.87477823950917</v>
      </c>
      <c r="L179" s="6">
        <v>195</v>
      </c>
      <c r="M179" s="6">
        <v>800</v>
      </c>
      <c r="N179" s="6">
        <v>154.96600000000001</v>
      </c>
      <c r="O179" s="6">
        <v>43.338000000000001</v>
      </c>
    </row>
    <row r="180" spans="1:15" x14ac:dyDescent="0.25">
      <c r="A180" s="6" t="s">
        <v>180</v>
      </c>
      <c r="B180" s="6" t="s">
        <v>193</v>
      </c>
      <c r="C180" s="6" t="s">
        <v>60</v>
      </c>
      <c r="D180" s="1">
        <v>0.186</v>
      </c>
      <c r="E180" s="6" t="s">
        <v>47</v>
      </c>
      <c r="F180" s="6" t="s">
        <v>48</v>
      </c>
      <c r="G180" s="6" t="s">
        <v>44</v>
      </c>
      <c r="H180" s="1" t="s">
        <v>285</v>
      </c>
      <c r="I180" s="6">
        <v>13</v>
      </c>
      <c r="J180" s="7" t="s">
        <v>16</v>
      </c>
      <c r="K180" s="6">
        <v>192.87330191239622</v>
      </c>
      <c r="L180" s="6">
        <v>195</v>
      </c>
      <c r="M180" s="6">
        <v>800</v>
      </c>
      <c r="N180" s="6">
        <v>148.495</v>
      </c>
      <c r="O180" s="6">
        <v>39.514000000000003</v>
      </c>
    </row>
    <row r="181" spans="1:15" x14ac:dyDescent="0.25">
      <c r="A181" s="6" t="s">
        <v>198</v>
      </c>
      <c r="B181" s="6" t="s">
        <v>211</v>
      </c>
      <c r="C181" s="6" t="s">
        <v>60</v>
      </c>
      <c r="D181" s="1">
        <v>0.186</v>
      </c>
      <c r="E181" s="6" t="s">
        <v>47</v>
      </c>
      <c r="F181" s="6" t="s">
        <v>48</v>
      </c>
      <c r="G181" s="6" t="s">
        <v>44</v>
      </c>
      <c r="H181" s="1" t="s">
        <v>285</v>
      </c>
      <c r="I181" s="6">
        <v>13</v>
      </c>
      <c r="J181" s="7" t="s">
        <v>16</v>
      </c>
      <c r="K181" s="6">
        <v>192.87330191239622</v>
      </c>
      <c r="L181" s="6">
        <v>195</v>
      </c>
      <c r="M181" s="6">
        <v>800</v>
      </c>
      <c r="N181" s="6">
        <v>148.87799999999999</v>
      </c>
      <c r="O181" s="6">
        <v>38.494</v>
      </c>
    </row>
    <row r="182" spans="1:15" x14ac:dyDescent="0.25">
      <c r="A182" s="6" t="s">
        <v>180</v>
      </c>
      <c r="B182" s="6" t="s">
        <v>194</v>
      </c>
      <c r="C182" s="6" t="s">
        <v>60</v>
      </c>
      <c r="D182" s="1">
        <v>0.186</v>
      </c>
      <c r="E182" s="6" t="s">
        <v>47</v>
      </c>
      <c r="F182" s="6" t="s">
        <v>48</v>
      </c>
      <c r="G182" s="6" t="s">
        <v>44</v>
      </c>
      <c r="H182" s="1" t="s">
        <v>285</v>
      </c>
      <c r="I182" s="2">
        <v>14</v>
      </c>
      <c r="J182" s="7" t="s">
        <v>16</v>
      </c>
      <c r="K182" s="6">
        <v>188.88800000000003</v>
      </c>
      <c r="L182" s="6">
        <v>195</v>
      </c>
      <c r="M182" s="6">
        <v>800</v>
      </c>
      <c r="N182" s="6">
        <v>141.61199999999999</v>
      </c>
      <c r="O182" s="6">
        <v>38.749000000000002</v>
      </c>
    </row>
    <row r="183" spans="1:15" x14ac:dyDescent="0.25">
      <c r="A183" s="6" t="s">
        <v>198</v>
      </c>
      <c r="B183" s="6" t="s">
        <v>212</v>
      </c>
      <c r="C183" s="6" t="s">
        <v>60</v>
      </c>
      <c r="D183" s="1">
        <v>0.186</v>
      </c>
      <c r="E183" s="6" t="s">
        <v>47</v>
      </c>
      <c r="F183" s="6" t="s">
        <v>48</v>
      </c>
      <c r="G183" s="6" t="s">
        <v>44</v>
      </c>
      <c r="H183" s="1" t="s">
        <v>285</v>
      </c>
      <c r="I183" s="6">
        <v>14</v>
      </c>
      <c r="J183" s="7" t="s">
        <v>16</v>
      </c>
      <c r="K183" s="6">
        <v>188.88800000000003</v>
      </c>
      <c r="L183" s="6">
        <v>195</v>
      </c>
      <c r="M183" s="6">
        <v>800</v>
      </c>
      <c r="N183" s="6">
        <v>142.887</v>
      </c>
      <c r="O183" s="6">
        <v>38.366999999999997</v>
      </c>
    </row>
    <row r="184" spans="1:15" x14ac:dyDescent="0.25">
      <c r="A184" s="6" t="s">
        <v>180</v>
      </c>
      <c r="B184" s="6" t="s">
        <v>195</v>
      </c>
      <c r="C184" s="6" t="s">
        <v>60</v>
      </c>
      <c r="D184" s="1">
        <v>0.186</v>
      </c>
      <c r="E184" s="6" t="s">
        <v>47</v>
      </c>
      <c r="F184" s="6" t="s">
        <v>48</v>
      </c>
      <c r="G184" s="6" t="s">
        <v>44</v>
      </c>
      <c r="H184" s="1" t="s">
        <v>285</v>
      </c>
      <c r="I184" s="2">
        <v>15</v>
      </c>
      <c r="J184" s="7" t="s">
        <v>16</v>
      </c>
      <c r="K184" s="6">
        <v>188.88800000000003</v>
      </c>
      <c r="L184" s="6">
        <v>179.2</v>
      </c>
      <c r="M184" s="6">
        <v>800</v>
      </c>
      <c r="N184" s="6">
        <v>142.25</v>
      </c>
      <c r="O184" s="6">
        <v>35.945</v>
      </c>
    </row>
    <row r="185" spans="1:15" x14ac:dyDescent="0.25">
      <c r="A185" s="6" t="s">
        <v>198</v>
      </c>
      <c r="B185" s="6" t="s">
        <v>213</v>
      </c>
      <c r="C185" s="6" t="s">
        <v>60</v>
      </c>
      <c r="D185" s="1">
        <v>0.186</v>
      </c>
      <c r="E185" s="6" t="s">
        <v>47</v>
      </c>
      <c r="F185" s="6" t="s">
        <v>48</v>
      </c>
      <c r="G185" s="6" t="s">
        <v>44</v>
      </c>
      <c r="H185" s="1" t="s">
        <v>285</v>
      </c>
      <c r="I185" s="6">
        <v>15</v>
      </c>
      <c r="J185" s="7" t="s">
        <v>16</v>
      </c>
      <c r="K185" s="6">
        <v>188.88800000000003</v>
      </c>
      <c r="L185" s="6">
        <v>179.2</v>
      </c>
      <c r="M185" s="6">
        <v>800</v>
      </c>
      <c r="N185" s="6">
        <v>142.505</v>
      </c>
      <c r="O185" s="6">
        <v>34.67</v>
      </c>
    </row>
    <row r="186" spans="1:15" x14ac:dyDescent="0.25">
      <c r="A186" s="6" t="s">
        <v>180</v>
      </c>
      <c r="B186" s="6" t="s">
        <v>196</v>
      </c>
      <c r="C186" s="6" t="s">
        <v>60</v>
      </c>
      <c r="D186" s="1">
        <v>0.186</v>
      </c>
      <c r="E186" s="6" t="s">
        <v>47</v>
      </c>
      <c r="F186" s="6" t="s">
        <v>48</v>
      </c>
      <c r="G186" s="6" t="s">
        <v>44</v>
      </c>
      <c r="H186" s="1" t="s">
        <v>285</v>
      </c>
      <c r="I186" s="2">
        <v>16</v>
      </c>
      <c r="J186" s="7" t="s">
        <v>16</v>
      </c>
      <c r="K186" s="6">
        <v>322.22000000000003</v>
      </c>
      <c r="L186" s="6">
        <v>195</v>
      </c>
      <c r="M186" s="6">
        <v>800</v>
      </c>
      <c r="N186" s="6">
        <v>188.90100000000001</v>
      </c>
      <c r="O186" s="6">
        <v>22.815999999999999</v>
      </c>
    </row>
    <row r="187" spans="1:15" x14ac:dyDescent="0.25">
      <c r="A187" s="6" t="s">
        <v>198</v>
      </c>
      <c r="B187" s="6" t="s">
        <v>214</v>
      </c>
      <c r="C187" s="6" t="s">
        <v>60</v>
      </c>
      <c r="D187" s="1">
        <v>0.186</v>
      </c>
      <c r="E187" s="6" t="s">
        <v>47</v>
      </c>
      <c r="F187" s="6" t="s">
        <v>48</v>
      </c>
      <c r="G187" s="6" t="s">
        <v>44</v>
      </c>
      <c r="H187" s="1" t="s">
        <v>285</v>
      </c>
      <c r="I187" s="6">
        <v>16</v>
      </c>
      <c r="J187" s="7" t="s">
        <v>16</v>
      </c>
      <c r="K187" s="6">
        <v>322.22000000000003</v>
      </c>
      <c r="L187" s="6">
        <v>195</v>
      </c>
      <c r="M187" s="6">
        <v>800</v>
      </c>
      <c r="N187" s="6">
        <v>184.185</v>
      </c>
      <c r="O187" s="6">
        <v>21.158999999999999</v>
      </c>
    </row>
    <row r="188" spans="1:15" x14ac:dyDescent="0.25">
      <c r="A188" s="6" t="s">
        <v>180</v>
      </c>
      <c r="B188" s="6" t="s">
        <v>197</v>
      </c>
      <c r="C188" s="6" t="s">
        <v>60</v>
      </c>
      <c r="D188" s="1">
        <v>0.186</v>
      </c>
      <c r="E188" s="6" t="s">
        <v>47</v>
      </c>
      <c r="F188" s="6" t="s">
        <v>48</v>
      </c>
      <c r="G188" s="6" t="s">
        <v>44</v>
      </c>
      <c r="H188" s="1" t="s">
        <v>285</v>
      </c>
      <c r="I188" s="2">
        <v>17</v>
      </c>
      <c r="J188" s="7" t="s">
        <v>16</v>
      </c>
      <c r="K188" s="6">
        <v>322.22000000000003</v>
      </c>
      <c r="L188" s="6">
        <v>195</v>
      </c>
      <c r="M188" s="6">
        <v>800</v>
      </c>
      <c r="N188" s="6">
        <v>196.804</v>
      </c>
      <c r="O188" s="6">
        <v>20.649000000000001</v>
      </c>
    </row>
    <row r="189" spans="1:15" x14ac:dyDescent="0.25">
      <c r="A189" s="6" t="s">
        <v>198</v>
      </c>
      <c r="B189" s="6" t="s">
        <v>215</v>
      </c>
      <c r="C189" s="6" t="s">
        <v>60</v>
      </c>
      <c r="D189" s="1">
        <v>0.186</v>
      </c>
      <c r="E189" s="6" t="s">
        <v>47</v>
      </c>
      <c r="F189" s="6" t="s">
        <v>48</v>
      </c>
      <c r="G189" s="6" t="s">
        <v>44</v>
      </c>
      <c r="H189" s="1" t="s">
        <v>285</v>
      </c>
      <c r="I189" s="6">
        <v>17</v>
      </c>
      <c r="J189" s="7" t="s">
        <v>16</v>
      </c>
      <c r="K189" s="6">
        <v>322.22000000000003</v>
      </c>
      <c r="L189" s="6">
        <v>195</v>
      </c>
      <c r="M189" s="6">
        <v>800</v>
      </c>
      <c r="N189" s="6">
        <v>187.499</v>
      </c>
      <c r="O189" s="6">
        <v>19.12</v>
      </c>
    </row>
    <row r="190" spans="1:15" x14ac:dyDescent="0.25">
      <c r="A190" s="1" t="s">
        <v>232</v>
      </c>
      <c r="B190" s="1" t="s">
        <v>216</v>
      </c>
      <c r="C190" s="6" t="s">
        <v>60</v>
      </c>
      <c r="D190" s="1">
        <v>0.186</v>
      </c>
      <c r="E190" s="6" t="s">
        <v>45</v>
      </c>
      <c r="F190" s="6" t="s">
        <v>48</v>
      </c>
      <c r="G190" s="6" t="s">
        <v>44</v>
      </c>
      <c r="H190" s="1" t="s">
        <v>285</v>
      </c>
      <c r="I190" s="6">
        <v>1</v>
      </c>
      <c r="J190" s="7" t="s">
        <v>16</v>
      </c>
      <c r="K190" s="6">
        <v>117.32434685899824</v>
      </c>
      <c r="L190" s="6">
        <v>195</v>
      </c>
      <c r="M190" s="6">
        <v>800</v>
      </c>
      <c r="N190" s="6">
        <v>125.934</v>
      </c>
      <c r="O190" s="6">
        <v>41.808</v>
      </c>
    </row>
    <row r="191" spans="1:15" x14ac:dyDescent="0.25">
      <c r="A191" s="1" t="s">
        <v>233</v>
      </c>
      <c r="B191" s="1" t="s">
        <v>234</v>
      </c>
      <c r="C191" s="6" t="s">
        <v>60</v>
      </c>
      <c r="D191" s="1">
        <v>0.186</v>
      </c>
      <c r="E191" s="6" t="s">
        <v>45</v>
      </c>
      <c r="F191" s="6" t="s">
        <v>48</v>
      </c>
      <c r="G191" s="6" t="s">
        <v>44</v>
      </c>
      <c r="H191" s="1" t="s">
        <v>285</v>
      </c>
      <c r="I191" s="6">
        <v>1</v>
      </c>
      <c r="J191" s="7" t="s">
        <v>16</v>
      </c>
      <c r="K191" s="6">
        <v>117.32434685899824</v>
      </c>
      <c r="L191" s="6">
        <v>195</v>
      </c>
      <c r="M191" s="6">
        <v>800</v>
      </c>
      <c r="N191" s="6">
        <v>124.66</v>
      </c>
      <c r="O191" s="6">
        <v>41.042999999999999</v>
      </c>
    </row>
    <row r="192" spans="1:15" x14ac:dyDescent="0.25">
      <c r="A192" s="1" t="s">
        <v>232</v>
      </c>
      <c r="B192" s="1" t="s">
        <v>217</v>
      </c>
      <c r="C192" s="6" t="s">
        <v>60</v>
      </c>
      <c r="D192" s="1">
        <v>0.186</v>
      </c>
      <c r="E192" s="6" t="s">
        <v>45</v>
      </c>
      <c r="F192" s="6" t="s">
        <v>48</v>
      </c>
      <c r="G192" s="6" t="s">
        <v>44</v>
      </c>
      <c r="H192" s="1" t="s">
        <v>285</v>
      </c>
      <c r="I192" s="6">
        <v>2</v>
      </c>
      <c r="J192" s="7" t="s">
        <v>16</v>
      </c>
      <c r="K192" s="6">
        <v>117.32434685899824</v>
      </c>
      <c r="L192" s="6">
        <v>179.2</v>
      </c>
      <c r="M192" s="6">
        <v>800</v>
      </c>
      <c r="N192" s="6">
        <v>122.875</v>
      </c>
      <c r="O192" s="6">
        <v>43.21</v>
      </c>
    </row>
    <row r="193" spans="1:15" x14ac:dyDescent="0.25">
      <c r="A193" s="1" t="s">
        <v>233</v>
      </c>
      <c r="B193" s="1" t="s">
        <v>235</v>
      </c>
      <c r="C193" s="6" t="s">
        <v>60</v>
      </c>
      <c r="D193" s="1">
        <v>0.186</v>
      </c>
      <c r="E193" s="6" t="s">
        <v>45</v>
      </c>
      <c r="F193" s="6" t="s">
        <v>48</v>
      </c>
      <c r="G193" s="6" t="s">
        <v>44</v>
      </c>
      <c r="H193" s="1" t="s">
        <v>285</v>
      </c>
      <c r="I193" s="6">
        <v>2</v>
      </c>
      <c r="J193" s="7" t="s">
        <v>16</v>
      </c>
      <c r="K193" s="6">
        <v>117.32434685899824</v>
      </c>
      <c r="L193" s="6">
        <v>179.2</v>
      </c>
      <c r="M193" s="6">
        <v>800</v>
      </c>
      <c r="N193" s="6">
        <v>122.11</v>
      </c>
      <c r="O193" s="6">
        <v>43.338000000000001</v>
      </c>
    </row>
    <row r="194" spans="1:15" x14ac:dyDescent="0.25">
      <c r="A194" s="1" t="s">
        <v>232</v>
      </c>
      <c r="B194" s="1" t="s">
        <v>218</v>
      </c>
      <c r="C194" s="6" t="s">
        <v>60</v>
      </c>
      <c r="D194" s="1">
        <v>0.186</v>
      </c>
      <c r="E194" s="6" t="s">
        <v>45</v>
      </c>
      <c r="F194" s="6" t="s">
        <v>48</v>
      </c>
      <c r="G194" s="6" t="s">
        <v>44</v>
      </c>
      <c r="H194" s="1" t="s">
        <v>285</v>
      </c>
      <c r="I194" s="6">
        <v>3</v>
      </c>
      <c r="J194" s="7" t="s">
        <v>16</v>
      </c>
      <c r="K194" s="6">
        <v>110.95271828441474</v>
      </c>
      <c r="L194" s="6">
        <v>195</v>
      </c>
      <c r="M194" s="6">
        <v>800</v>
      </c>
      <c r="N194" s="6">
        <v>130.905</v>
      </c>
      <c r="O194" s="6">
        <v>60.162999999999997</v>
      </c>
    </row>
    <row r="195" spans="1:15" x14ac:dyDescent="0.25">
      <c r="A195" s="1" t="s">
        <v>233</v>
      </c>
      <c r="B195" s="1" t="s">
        <v>236</v>
      </c>
      <c r="C195" s="6" t="s">
        <v>60</v>
      </c>
      <c r="D195" s="1">
        <v>0.186</v>
      </c>
      <c r="E195" s="6" t="s">
        <v>45</v>
      </c>
      <c r="F195" s="6" t="s">
        <v>48</v>
      </c>
      <c r="G195" s="6" t="s">
        <v>44</v>
      </c>
      <c r="H195" s="1" t="s">
        <v>285</v>
      </c>
      <c r="I195" s="6">
        <v>3</v>
      </c>
      <c r="J195" s="7" t="s">
        <v>16</v>
      </c>
      <c r="K195" s="6">
        <v>110.95271828441474</v>
      </c>
      <c r="L195" s="6">
        <v>195</v>
      </c>
      <c r="M195" s="6">
        <v>800</v>
      </c>
      <c r="N195" s="6">
        <v>131.16</v>
      </c>
      <c r="O195" s="6">
        <v>60.29</v>
      </c>
    </row>
    <row r="196" spans="1:15" x14ac:dyDescent="0.25">
      <c r="A196" s="1" t="s">
        <v>232</v>
      </c>
      <c r="B196" s="1" t="s">
        <v>219</v>
      </c>
      <c r="C196" s="6" t="s">
        <v>60</v>
      </c>
      <c r="D196" s="1">
        <v>0.186</v>
      </c>
      <c r="E196" s="6" t="s">
        <v>45</v>
      </c>
      <c r="F196" s="6" t="s">
        <v>48</v>
      </c>
      <c r="G196" s="6" t="s">
        <v>44</v>
      </c>
      <c r="H196" s="1" t="s">
        <v>285</v>
      </c>
      <c r="I196" s="6">
        <v>4</v>
      </c>
      <c r="J196" s="7" t="s">
        <v>16</v>
      </c>
      <c r="K196" s="6">
        <v>104.92160741340118</v>
      </c>
      <c r="L196" s="6">
        <v>195</v>
      </c>
      <c r="M196" s="6">
        <v>800</v>
      </c>
      <c r="N196" s="6">
        <v>127.464</v>
      </c>
      <c r="O196" s="6">
        <v>74.566000000000003</v>
      </c>
    </row>
    <row r="197" spans="1:15" x14ac:dyDescent="0.25">
      <c r="A197" s="1" t="s">
        <v>233</v>
      </c>
      <c r="B197" s="1" t="s">
        <v>237</v>
      </c>
      <c r="C197" s="6" t="s">
        <v>60</v>
      </c>
      <c r="D197" s="1">
        <v>0.186</v>
      </c>
      <c r="E197" s="6" t="s">
        <v>45</v>
      </c>
      <c r="F197" s="6" t="s">
        <v>48</v>
      </c>
      <c r="G197" s="6" t="s">
        <v>44</v>
      </c>
      <c r="H197" s="1" t="s">
        <v>285</v>
      </c>
      <c r="I197" s="6">
        <v>4</v>
      </c>
      <c r="J197" s="7" t="s">
        <v>16</v>
      </c>
      <c r="K197" s="6">
        <v>104.92160741340118</v>
      </c>
      <c r="L197" s="6">
        <v>195</v>
      </c>
      <c r="M197" s="6">
        <v>800</v>
      </c>
      <c r="N197" s="6">
        <v>124.532</v>
      </c>
      <c r="O197" s="6">
        <v>70.233000000000004</v>
      </c>
    </row>
    <row r="198" spans="1:15" x14ac:dyDescent="0.25">
      <c r="A198" s="1" t="s">
        <v>232</v>
      </c>
      <c r="B198" s="1" t="s">
        <v>220</v>
      </c>
      <c r="C198" s="6" t="s">
        <v>60</v>
      </c>
      <c r="D198" s="1">
        <v>0.186</v>
      </c>
      <c r="E198" s="6" t="s">
        <v>45</v>
      </c>
      <c r="F198" s="6" t="s">
        <v>48</v>
      </c>
      <c r="G198" s="6" t="s">
        <v>44</v>
      </c>
      <c r="H198" s="1" t="s">
        <v>285</v>
      </c>
      <c r="I198" s="6">
        <v>5</v>
      </c>
      <c r="J198" s="7" t="s">
        <v>16</v>
      </c>
      <c r="K198" s="6">
        <v>99.293083285917049</v>
      </c>
      <c r="L198" s="6">
        <v>195</v>
      </c>
      <c r="M198" s="6">
        <v>800</v>
      </c>
      <c r="N198" s="6">
        <v>129.75800000000001</v>
      </c>
      <c r="O198" s="6">
        <v>83.361000000000004</v>
      </c>
    </row>
    <row r="199" spans="1:15" x14ac:dyDescent="0.25">
      <c r="A199" s="1" t="s">
        <v>233</v>
      </c>
      <c r="B199" s="1" t="s">
        <v>238</v>
      </c>
      <c r="C199" s="6" t="s">
        <v>60</v>
      </c>
      <c r="D199" s="1">
        <v>0.186</v>
      </c>
      <c r="E199" s="6" t="s">
        <v>45</v>
      </c>
      <c r="F199" s="6" t="s">
        <v>48</v>
      </c>
      <c r="G199" s="6" t="s">
        <v>44</v>
      </c>
      <c r="H199" s="1" t="s">
        <v>285</v>
      </c>
      <c r="I199" s="6">
        <v>5</v>
      </c>
      <c r="J199" s="7" t="s">
        <v>16</v>
      </c>
      <c r="K199" s="6">
        <v>99.293083285917049</v>
      </c>
      <c r="L199" s="6">
        <v>195</v>
      </c>
      <c r="M199" s="6">
        <v>800</v>
      </c>
      <c r="N199" s="6">
        <v>129.886</v>
      </c>
      <c r="O199" s="6">
        <v>85.911000000000001</v>
      </c>
    </row>
    <row r="200" spans="1:15" x14ac:dyDescent="0.25">
      <c r="A200" s="1" t="s">
        <v>232</v>
      </c>
      <c r="B200" s="1" t="s">
        <v>221</v>
      </c>
      <c r="C200" s="6" t="s">
        <v>60</v>
      </c>
      <c r="D200" s="1">
        <v>0.186</v>
      </c>
      <c r="E200" s="6" t="s">
        <v>45</v>
      </c>
      <c r="F200" s="6" t="s">
        <v>48</v>
      </c>
      <c r="G200" s="6" t="s">
        <v>44</v>
      </c>
      <c r="H200" s="1" t="s">
        <v>285</v>
      </c>
      <c r="I200" s="6">
        <v>6</v>
      </c>
      <c r="J200" s="7" t="s">
        <v>16</v>
      </c>
      <c r="K200" s="6">
        <v>94.139384708724563</v>
      </c>
      <c r="L200" s="6">
        <v>195</v>
      </c>
      <c r="M200" s="6">
        <v>800</v>
      </c>
      <c r="N200" s="6">
        <v>142.63200000000001</v>
      </c>
      <c r="O200" s="6">
        <v>100.44199999999999</v>
      </c>
    </row>
    <row r="201" spans="1:15" x14ac:dyDescent="0.25">
      <c r="A201" s="1" t="s">
        <v>233</v>
      </c>
      <c r="B201" s="1" t="s">
        <v>239</v>
      </c>
      <c r="C201" s="6" t="s">
        <v>60</v>
      </c>
      <c r="D201" s="1">
        <v>0.186</v>
      </c>
      <c r="E201" s="6" t="s">
        <v>45</v>
      </c>
      <c r="F201" s="6" t="s">
        <v>48</v>
      </c>
      <c r="G201" s="6" t="s">
        <v>44</v>
      </c>
      <c r="H201" s="1" t="s">
        <v>285</v>
      </c>
      <c r="I201" s="6">
        <v>6</v>
      </c>
      <c r="J201" s="7" t="s">
        <v>16</v>
      </c>
      <c r="K201" s="6">
        <v>94.139384708724563</v>
      </c>
      <c r="L201" s="6">
        <v>195</v>
      </c>
      <c r="M201" s="6">
        <v>800</v>
      </c>
      <c r="N201" s="6">
        <v>132.56200000000001</v>
      </c>
      <c r="O201" s="6">
        <v>102.48099999999999</v>
      </c>
    </row>
    <row r="202" spans="1:15" x14ac:dyDescent="0.25">
      <c r="A202" s="1" t="s">
        <v>232</v>
      </c>
      <c r="B202" s="1" t="s">
        <v>222</v>
      </c>
      <c r="C202" s="6" t="s">
        <v>60</v>
      </c>
      <c r="D202" s="1">
        <v>0.186</v>
      </c>
      <c r="E202" s="6" t="s">
        <v>45</v>
      </c>
      <c r="F202" s="6" t="s">
        <v>48</v>
      </c>
      <c r="G202" s="6" t="s">
        <v>44</v>
      </c>
      <c r="H202" s="1" t="s">
        <v>285</v>
      </c>
      <c r="I202" s="6">
        <v>7</v>
      </c>
      <c r="J202" s="7" t="s">
        <v>16</v>
      </c>
      <c r="K202" s="6">
        <v>89.542536243683813</v>
      </c>
      <c r="L202" s="6">
        <v>195</v>
      </c>
      <c r="M202" s="6">
        <v>800</v>
      </c>
      <c r="N202" s="6">
        <v>133.58199999999999</v>
      </c>
      <c r="O202" s="6">
        <v>101.334</v>
      </c>
    </row>
    <row r="203" spans="1:15" x14ac:dyDescent="0.25">
      <c r="A203" s="1" t="s">
        <v>233</v>
      </c>
      <c r="B203" s="1" t="s">
        <v>240</v>
      </c>
      <c r="C203" s="6" t="s">
        <v>60</v>
      </c>
      <c r="D203" s="1">
        <v>0.186</v>
      </c>
      <c r="E203" s="6" t="s">
        <v>45</v>
      </c>
      <c r="F203" s="6" t="s">
        <v>48</v>
      </c>
      <c r="G203" s="6" t="s">
        <v>44</v>
      </c>
      <c r="H203" s="1" t="s">
        <v>285</v>
      </c>
      <c r="I203" s="6">
        <v>7</v>
      </c>
      <c r="J203" s="7" t="s">
        <v>16</v>
      </c>
      <c r="K203" s="6">
        <v>89.542536243683813</v>
      </c>
      <c r="L203" s="6">
        <v>195</v>
      </c>
      <c r="M203" s="6">
        <v>800</v>
      </c>
      <c r="N203" s="6">
        <v>133.965</v>
      </c>
      <c r="O203" s="6">
        <v>106.94199999999999</v>
      </c>
    </row>
    <row r="204" spans="1:15" x14ac:dyDescent="0.25">
      <c r="A204" s="1" t="s">
        <v>232</v>
      </c>
      <c r="B204" s="1" t="s">
        <v>223</v>
      </c>
      <c r="C204" s="6" t="s">
        <v>60</v>
      </c>
      <c r="D204" s="1">
        <v>0.186</v>
      </c>
      <c r="E204" s="6" t="s">
        <v>45</v>
      </c>
      <c r="F204" s="6" t="s">
        <v>48</v>
      </c>
      <c r="G204" s="6" t="s">
        <v>44</v>
      </c>
      <c r="H204" s="1" t="s">
        <v>285</v>
      </c>
      <c r="I204" s="6">
        <v>8</v>
      </c>
      <c r="J204" s="7" t="s">
        <v>16</v>
      </c>
      <c r="K204" s="6">
        <v>87.480782594072593</v>
      </c>
      <c r="L204" s="6">
        <v>195</v>
      </c>
      <c r="M204" s="6">
        <v>800</v>
      </c>
      <c r="N204" s="6">
        <v>134.98400000000001</v>
      </c>
      <c r="O204" s="6">
        <v>105.158</v>
      </c>
    </row>
    <row r="205" spans="1:15" x14ac:dyDescent="0.25">
      <c r="A205" s="1" t="s">
        <v>233</v>
      </c>
      <c r="B205" s="1" t="s">
        <v>241</v>
      </c>
      <c r="C205" s="6" t="s">
        <v>60</v>
      </c>
      <c r="D205" s="1">
        <v>0.186</v>
      </c>
      <c r="E205" s="6" t="s">
        <v>45</v>
      </c>
      <c r="F205" s="6" t="s">
        <v>48</v>
      </c>
      <c r="G205" s="6" t="s">
        <v>44</v>
      </c>
      <c r="H205" s="1" t="s">
        <v>285</v>
      </c>
      <c r="I205" s="6">
        <v>8</v>
      </c>
      <c r="J205" s="7" t="s">
        <v>16</v>
      </c>
      <c r="K205" s="6">
        <v>87.480782594072593</v>
      </c>
      <c r="L205" s="6">
        <v>195</v>
      </c>
      <c r="M205" s="6">
        <v>800</v>
      </c>
      <c r="N205" s="6">
        <v>131.66999999999999</v>
      </c>
      <c r="O205" s="6">
        <v>103.628</v>
      </c>
    </row>
    <row r="206" spans="1:15" x14ac:dyDescent="0.25">
      <c r="A206" s="1" t="s">
        <v>232</v>
      </c>
      <c r="B206" s="1" t="s">
        <v>224</v>
      </c>
      <c r="C206" s="6" t="s">
        <v>60</v>
      </c>
      <c r="D206" s="1">
        <v>0.186</v>
      </c>
      <c r="E206" s="6" t="s">
        <v>45</v>
      </c>
      <c r="F206" s="6" t="s">
        <v>48</v>
      </c>
      <c r="G206" s="6" t="s">
        <v>44</v>
      </c>
      <c r="H206" s="1" t="s">
        <v>285</v>
      </c>
      <c r="I206" s="6">
        <v>9</v>
      </c>
      <c r="J206" s="7" t="s">
        <v>16</v>
      </c>
      <c r="K206" s="6">
        <v>85.592304089016167</v>
      </c>
      <c r="L206" s="6">
        <v>195</v>
      </c>
      <c r="M206" s="6">
        <v>800</v>
      </c>
      <c r="N206" s="6">
        <v>131.28800000000001</v>
      </c>
      <c r="O206" s="6">
        <v>110.001</v>
      </c>
    </row>
    <row r="207" spans="1:15" x14ac:dyDescent="0.25">
      <c r="A207" s="1" t="s">
        <v>233</v>
      </c>
      <c r="B207" s="1" t="s">
        <v>242</v>
      </c>
      <c r="C207" s="6" t="s">
        <v>60</v>
      </c>
      <c r="D207" s="1">
        <v>0.186</v>
      </c>
      <c r="E207" s="6" t="s">
        <v>45</v>
      </c>
      <c r="F207" s="6" t="s">
        <v>48</v>
      </c>
      <c r="G207" s="6" t="s">
        <v>44</v>
      </c>
      <c r="H207" s="1" t="s">
        <v>285</v>
      </c>
      <c r="I207" s="6">
        <v>9</v>
      </c>
      <c r="J207" s="7" t="s">
        <v>16</v>
      </c>
      <c r="K207" s="6">
        <v>85.592304089016167</v>
      </c>
      <c r="L207" s="6">
        <v>195</v>
      </c>
      <c r="M207" s="6">
        <v>800</v>
      </c>
      <c r="N207" s="6">
        <v>129.24799999999999</v>
      </c>
      <c r="O207" s="6">
        <v>112.551</v>
      </c>
    </row>
    <row r="208" spans="1:15" x14ac:dyDescent="0.25">
      <c r="A208" s="1" t="s">
        <v>232</v>
      </c>
      <c r="B208" s="1" t="s">
        <v>225</v>
      </c>
      <c r="C208" s="6" t="s">
        <v>60</v>
      </c>
      <c r="D208" s="1">
        <v>0.186</v>
      </c>
      <c r="E208" s="6" t="s">
        <v>45</v>
      </c>
      <c r="F208" s="6" t="s">
        <v>48</v>
      </c>
      <c r="G208" s="6" t="s">
        <v>44</v>
      </c>
      <c r="H208" s="1" t="s">
        <v>285</v>
      </c>
      <c r="I208" s="6">
        <v>10</v>
      </c>
      <c r="J208" s="7" t="s">
        <v>16</v>
      </c>
      <c r="K208" s="6">
        <v>83.888803692370558</v>
      </c>
      <c r="L208" s="6">
        <v>195</v>
      </c>
      <c r="M208" s="6">
        <v>800</v>
      </c>
      <c r="N208" s="6">
        <v>135.239</v>
      </c>
      <c r="O208" s="6">
        <v>107.325</v>
      </c>
    </row>
    <row r="209" spans="1:15" x14ac:dyDescent="0.25">
      <c r="A209" s="1" t="s">
        <v>233</v>
      </c>
      <c r="B209" s="1" t="s">
        <v>243</v>
      </c>
      <c r="C209" s="6" t="s">
        <v>60</v>
      </c>
      <c r="D209" s="1">
        <v>0.186</v>
      </c>
      <c r="E209" s="6" t="s">
        <v>45</v>
      </c>
      <c r="F209" s="6" t="s">
        <v>48</v>
      </c>
      <c r="G209" s="6" t="s">
        <v>44</v>
      </c>
      <c r="H209" s="1" t="s">
        <v>285</v>
      </c>
      <c r="I209" s="6">
        <v>10</v>
      </c>
      <c r="J209" s="7" t="s">
        <v>16</v>
      </c>
      <c r="K209" s="6">
        <v>83.888803692370558</v>
      </c>
      <c r="L209" s="6">
        <v>195</v>
      </c>
      <c r="M209" s="6">
        <v>800</v>
      </c>
      <c r="N209" s="6">
        <v>131.92500000000001</v>
      </c>
      <c r="O209" s="6">
        <v>103.756</v>
      </c>
    </row>
    <row r="210" spans="1:15" x14ac:dyDescent="0.25">
      <c r="A210" s="1" t="s">
        <v>232</v>
      </c>
      <c r="B210" s="1" t="s">
        <v>226</v>
      </c>
      <c r="C210" s="6" t="s">
        <v>60</v>
      </c>
      <c r="D210" s="1">
        <v>0.186</v>
      </c>
      <c r="E210" s="6" t="s">
        <v>45</v>
      </c>
      <c r="F210" s="6" t="s">
        <v>48</v>
      </c>
      <c r="G210" s="6" t="s">
        <v>44</v>
      </c>
      <c r="H210" s="1" t="s">
        <v>285</v>
      </c>
      <c r="I210" s="6">
        <v>11</v>
      </c>
      <c r="J210" s="7" t="s">
        <v>16</v>
      </c>
      <c r="K210" s="6">
        <v>82.381757205602284</v>
      </c>
      <c r="L210" s="6">
        <v>195</v>
      </c>
      <c r="M210" s="6">
        <v>800</v>
      </c>
      <c r="N210" s="6">
        <v>133.45500000000001</v>
      </c>
      <c r="O210" s="6">
        <v>110.001</v>
      </c>
    </row>
    <row r="211" spans="1:15" x14ac:dyDescent="0.25">
      <c r="A211" s="1" t="s">
        <v>233</v>
      </c>
      <c r="B211" s="1" t="s">
        <v>244</v>
      </c>
      <c r="C211" s="6" t="s">
        <v>60</v>
      </c>
      <c r="D211" s="1">
        <v>0.186</v>
      </c>
      <c r="E211" s="6" t="s">
        <v>45</v>
      </c>
      <c r="F211" s="6" t="s">
        <v>48</v>
      </c>
      <c r="G211" s="6" t="s">
        <v>44</v>
      </c>
      <c r="H211" s="1" t="s">
        <v>285</v>
      </c>
      <c r="I211" s="6">
        <v>11</v>
      </c>
      <c r="J211" s="7" t="s">
        <v>16</v>
      </c>
      <c r="K211" s="6">
        <v>82.381757205602284</v>
      </c>
      <c r="L211" s="6">
        <v>195</v>
      </c>
      <c r="M211" s="6">
        <v>800</v>
      </c>
      <c r="N211" s="6">
        <v>137.78800000000001</v>
      </c>
      <c r="O211" s="6">
        <v>113.825</v>
      </c>
    </row>
    <row r="212" spans="1:15" x14ac:dyDescent="0.25">
      <c r="A212" s="1" t="s">
        <v>232</v>
      </c>
      <c r="B212" s="1" t="s">
        <v>227</v>
      </c>
      <c r="C212" s="6" t="s">
        <v>60</v>
      </c>
      <c r="D212" s="1">
        <v>0.186</v>
      </c>
      <c r="E212" s="6" t="s">
        <v>45</v>
      </c>
      <c r="F212" s="6" t="s">
        <v>48</v>
      </c>
      <c r="G212" s="6" t="s">
        <v>44</v>
      </c>
      <c r="H212" s="1" t="s">
        <v>285</v>
      </c>
      <c r="I212" s="6">
        <v>12</v>
      </c>
      <c r="J212" s="7" t="s">
        <v>16</v>
      </c>
      <c r="K212" s="6">
        <v>81.082119639929104</v>
      </c>
      <c r="L212" s="6">
        <v>195</v>
      </c>
      <c r="M212" s="6">
        <v>800</v>
      </c>
      <c r="N212" s="6">
        <v>137.40600000000001</v>
      </c>
      <c r="O212" s="6">
        <v>109.619</v>
      </c>
    </row>
    <row r="213" spans="1:15" x14ac:dyDescent="0.25">
      <c r="A213" s="1" t="s">
        <v>233</v>
      </c>
      <c r="B213" s="1" t="s">
        <v>245</v>
      </c>
      <c r="C213" s="6" t="s">
        <v>60</v>
      </c>
      <c r="D213" s="1">
        <v>0.186</v>
      </c>
      <c r="E213" s="6" t="s">
        <v>45</v>
      </c>
      <c r="F213" s="6" t="s">
        <v>48</v>
      </c>
      <c r="G213" s="6" t="s">
        <v>44</v>
      </c>
      <c r="H213" s="1" t="s">
        <v>285</v>
      </c>
      <c r="I213" s="6">
        <v>12</v>
      </c>
      <c r="J213" s="7" t="s">
        <v>16</v>
      </c>
      <c r="K213" s="6">
        <v>81.082119639929104</v>
      </c>
      <c r="L213" s="6">
        <v>195</v>
      </c>
      <c r="M213" s="6">
        <v>800</v>
      </c>
      <c r="N213" s="6">
        <v>136.64099999999999</v>
      </c>
      <c r="O213" s="6">
        <v>106.687</v>
      </c>
    </row>
    <row r="214" spans="1:15" x14ac:dyDescent="0.25">
      <c r="A214" s="1" t="s">
        <v>232</v>
      </c>
      <c r="B214" s="1" t="s">
        <v>228</v>
      </c>
      <c r="C214" s="6" t="s">
        <v>60</v>
      </c>
      <c r="D214" s="1">
        <v>0.186</v>
      </c>
      <c r="E214" s="6" t="s">
        <v>45</v>
      </c>
      <c r="F214" s="6" t="s">
        <v>48</v>
      </c>
      <c r="G214" s="6" t="s">
        <v>44</v>
      </c>
      <c r="H214" s="1" t="s">
        <v>285</v>
      </c>
      <c r="I214" s="2">
        <v>13</v>
      </c>
      <c r="J214" s="7" t="s">
        <v>16</v>
      </c>
      <c r="K214" s="6">
        <v>80</v>
      </c>
      <c r="L214" s="6">
        <v>195</v>
      </c>
      <c r="M214" s="6">
        <v>800</v>
      </c>
      <c r="N214" s="6">
        <v>137.15100000000001</v>
      </c>
      <c r="O214" s="6">
        <v>115.482</v>
      </c>
    </row>
    <row r="215" spans="1:15" x14ac:dyDescent="0.25">
      <c r="A215" s="1" t="s">
        <v>233</v>
      </c>
      <c r="B215" s="1" t="s">
        <v>246</v>
      </c>
      <c r="C215" s="6" t="s">
        <v>60</v>
      </c>
      <c r="D215" s="1">
        <v>0.186</v>
      </c>
      <c r="E215" s="6" t="s">
        <v>45</v>
      </c>
      <c r="F215" s="6" t="s">
        <v>48</v>
      </c>
      <c r="G215" s="6" t="s">
        <v>44</v>
      </c>
      <c r="H215" s="1" t="s">
        <v>285</v>
      </c>
      <c r="I215" s="6">
        <v>13</v>
      </c>
      <c r="J215" s="7" t="s">
        <v>16</v>
      </c>
      <c r="K215" s="6">
        <v>80</v>
      </c>
      <c r="L215" s="6">
        <v>195</v>
      </c>
      <c r="M215" s="6">
        <v>800</v>
      </c>
      <c r="N215" s="6">
        <v>136.131</v>
      </c>
      <c r="O215" s="6">
        <v>116.374</v>
      </c>
    </row>
    <row r="216" spans="1:15" x14ac:dyDescent="0.25">
      <c r="A216" s="1" t="s">
        <v>232</v>
      </c>
      <c r="B216" s="1" t="s">
        <v>229</v>
      </c>
      <c r="C216" s="6" t="s">
        <v>60</v>
      </c>
      <c r="D216" s="1">
        <v>0.186</v>
      </c>
      <c r="E216" s="6" t="s">
        <v>45</v>
      </c>
      <c r="F216" s="6" t="s">
        <v>48</v>
      </c>
      <c r="G216" s="6" t="s">
        <v>44</v>
      </c>
      <c r="H216" s="1" t="s">
        <v>285</v>
      </c>
      <c r="I216" s="2">
        <v>14</v>
      </c>
      <c r="J216" s="7" t="s">
        <v>16</v>
      </c>
      <c r="K216" s="6">
        <v>80</v>
      </c>
      <c r="L216" s="6">
        <v>179.2</v>
      </c>
      <c r="M216" s="6">
        <v>800</v>
      </c>
      <c r="N216" s="6">
        <v>123.895</v>
      </c>
      <c r="O216" s="6">
        <v>99.293999999999997</v>
      </c>
    </row>
    <row r="217" spans="1:15" x14ac:dyDescent="0.25">
      <c r="A217" s="1" t="s">
        <v>233</v>
      </c>
      <c r="B217" s="1" t="s">
        <v>247</v>
      </c>
      <c r="C217" s="6" t="s">
        <v>60</v>
      </c>
      <c r="D217" s="1">
        <v>0.186</v>
      </c>
      <c r="E217" s="6" t="s">
        <v>45</v>
      </c>
      <c r="F217" s="6" t="s">
        <v>48</v>
      </c>
      <c r="G217" s="6" t="s">
        <v>44</v>
      </c>
      <c r="H217" s="1" t="s">
        <v>285</v>
      </c>
      <c r="I217" s="6">
        <v>14</v>
      </c>
      <c r="J217" s="7" t="s">
        <v>16</v>
      </c>
      <c r="K217" s="6">
        <v>80</v>
      </c>
      <c r="L217" s="6">
        <v>179.2</v>
      </c>
      <c r="M217" s="6">
        <v>800</v>
      </c>
      <c r="N217" s="6">
        <v>126.444</v>
      </c>
      <c r="O217" s="6">
        <v>96.49</v>
      </c>
    </row>
    <row r="218" spans="1:15" x14ac:dyDescent="0.25">
      <c r="A218" s="1" t="s">
        <v>232</v>
      </c>
      <c r="B218" s="1" t="s">
        <v>230</v>
      </c>
      <c r="C218" s="6" t="s">
        <v>60</v>
      </c>
      <c r="D218" s="1">
        <v>0.186</v>
      </c>
      <c r="E218" s="6" t="s">
        <v>45</v>
      </c>
      <c r="F218" s="6" t="s">
        <v>48</v>
      </c>
      <c r="G218" s="6" t="s">
        <v>44</v>
      </c>
      <c r="H218" s="1" t="s">
        <v>285</v>
      </c>
      <c r="I218" s="2">
        <v>15</v>
      </c>
      <c r="J218" s="7" t="s">
        <v>16</v>
      </c>
      <c r="K218" s="6">
        <v>122.22199999999999</v>
      </c>
      <c r="L218" s="6">
        <v>195</v>
      </c>
      <c r="M218" s="6">
        <v>800</v>
      </c>
      <c r="N218" s="6">
        <v>121.346</v>
      </c>
      <c r="O218" s="6">
        <v>73.037000000000006</v>
      </c>
    </row>
    <row r="219" spans="1:15" x14ac:dyDescent="0.25">
      <c r="A219" s="1" t="s">
        <v>233</v>
      </c>
      <c r="B219" s="1" t="s">
        <v>248</v>
      </c>
      <c r="C219" s="6" t="s">
        <v>60</v>
      </c>
      <c r="D219" s="1">
        <v>0.186</v>
      </c>
      <c r="E219" s="6" t="s">
        <v>45</v>
      </c>
      <c r="F219" s="6" t="s">
        <v>48</v>
      </c>
      <c r="G219" s="6" t="s">
        <v>44</v>
      </c>
      <c r="H219" s="1" t="s">
        <v>285</v>
      </c>
      <c r="I219" s="6">
        <v>15</v>
      </c>
      <c r="J219" s="7" t="s">
        <v>16</v>
      </c>
      <c r="K219" s="6">
        <v>122.22199999999999</v>
      </c>
      <c r="L219" s="6">
        <v>195</v>
      </c>
      <c r="M219" s="6">
        <v>800</v>
      </c>
      <c r="N219" s="6">
        <v>122.238</v>
      </c>
      <c r="O219" s="6">
        <v>71.251999999999995</v>
      </c>
    </row>
    <row r="220" spans="1:15" x14ac:dyDescent="0.25">
      <c r="A220" s="1" t="s">
        <v>232</v>
      </c>
      <c r="B220" s="1" t="s">
        <v>231</v>
      </c>
      <c r="C220" s="6" t="s">
        <v>60</v>
      </c>
      <c r="D220" s="1">
        <v>0.186</v>
      </c>
      <c r="E220" s="6" t="s">
        <v>45</v>
      </c>
      <c r="F220" s="6" t="s">
        <v>48</v>
      </c>
      <c r="G220" s="6" t="s">
        <v>44</v>
      </c>
      <c r="H220" s="1" t="s">
        <v>285</v>
      </c>
      <c r="I220" s="2">
        <v>16</v>
      </c>
      <c r="J220" s="7" t="s">
        <v>16</v>
      </c>
      <c r="K220" s="6">
        <v>166.666</v>
      </c>
      <c r="L220" s="6">
        <v>195</v>
      </c>
      <c r="M220" s="6">
        <v>800</v>
      </c>
      <c r="N220" s="6">
        <v>134.34700000000001</v>
      </c>
      <c r="O220" s="6">
        <v>43.465000000000003</v>
      </c>
    </row>
    <row r="221" spans="1:15" x14ac:dyDescent="0.25">
      <c r="A221" s="1" t="s">
        <v>233</v>
      </c>
      <c r="B221" s="1" t="s">
        <v>249</v>
      </c>
      <c r="C221" s="6" t="s">
        <v>60</v>
      </c>
      <c r="D221" s="1">
        <v>0.186</v>
      </c>
      <c r="E221" s="6" t="s">
        <v>45</v>
      </c>
      <c r="F221" s="6" t="s">
        <v>48</v>
      </c>
      <c r="G221" s="6" t="s">
        <v>44</v>
      </c>
      <c r="H221" s="1" t="s">
        <v>285</v>
      </c>
      <c r="I221" s="6">
        <v>16</v>
      </c>
      <c r="J221" s="7" t="s">
        <v>16</v>
      </c>
      <c r="K221" s="6">
        <v>166.666</v>
      </c>
      <c r="L221" s="6">
        <v>195</v>
      </c>
      <c r="M221" s="6">
        <v>800</v>
      </c>
      <c r="N221" s="6">
        <v>135.239</v>
      </c>
      <c r="O221" s="6">
        <v>43.847999999999999</v>
      </c>
    </row>
    <row r="222" spans="1:15" x14ac:dyDescent="0.25">
      <c r="A222" s="1" t="s">
        <v>281</v>
      </c>
      <c r="B222" s="1" t="s">
        <v>250</v>
      </c>
      <c r="C222" s="6" t="s">
        <v>60</v>
      </c>
      <c r="D222" s="1">
        <v>0.186</v>
      </c>
      <c r="E222" s="6" t="s">
        <v>46</v>
      </c>
      <c r="F222" s="6" t="s">
        <v>48</v>
      </c>
      <c r="G222" s="6" t="s">
        <v>44</v>
      </c>
      <c r="H222" s="1" t="s">
        <v>285</v>
      </c>
      <c r="I222" s="6">
        <v>1</v>
      </c>
      <c r="J222" s="7" t="s">
        <v>16</v>
      </c>
      <c r="K222" s="6">
        <v>153.7046493982775</v>
      </c>
      <c r="L222" s="6">
        <v>195</v>
      </c>
      <c r="M222" s="6">
        <v>800</v>
      </c>
      <c r="N222" s="6">
        <v>144.54400000000001</v>
      </c>
      <c r="O222" s="6">
        <v>35.561999999999998</v>
      </c>
    </row>
    <row r="223" spans="1:15" x14ac:dyDescent="0.25">
      <c r="A223" s="1" t="s">
        <v>280</v>
      </c>
      <c r="B223" s="1" t="s">
        <v>265</v>
      </c>
      <c r="C223" s="6" t="s">
        <v>60</v>
      </c>
      <c r="D223" s="1">
        <v>0.186</v>
      </c>
      <c r="E223" s="6" t="s">
        <v>46</v>
      </c>
      <c r="F223" s="6" t="s">
        <v>48</v>
      </c>
      <c r="G223" s="6" t="s">
        <v>44</v>
      </c>
      <c r="H223" s="1" t="s">
        <v>285</v>
      </c>
      <c r="I223" s="6">
        <v>1</v>
      </c>
      <c r="J223" s="7" t="s">
        <v>16</v>
      </c>
      <c r="K223" s="6">
        <v>153.7046493982775</v>
      </c>
      <c r="L223" s="6">
        <v>195</v>
      </c>
      <c r="M223" s="6">
        <v>800</v>
      </c>
      <c r="N223" s="6">
        <v>142.63200000000001</v>
      </c>
      <c r="O223" s="6">
        <v>33.65</v>
      </c>
    </row>
    <row r="224" spans="1:15" x14ac:dyDescent="0.25">
      <c r="A224" s="1" t="s">
        <v>281</v>
      </c>
      <c r="B224" s="1" t="s">
        <v>251</v>
      </c>
      <c r="C224" s="6" t="s">
        <v>60</v>
      </c>
      <c r="D224" s="1">
        <v>0.186</v>
      </c>
      <c r="E224" s="6" t="s">
        <v>46</v>
      </c>
      <c r="F224" s="6" t="s">
        <v>48</v>
      </c>
      <c r="G224" s="6" t="s">
        <v>44</v>
      </c>
      <c r="H224" s="1" t="s">
        <v>285</v>
      </c>
      <c r="I224" s="6">
        <v>2</v>
      </c>
      <c r="J224" s="7" t="s">
        <v>16</v>
      </c>
      <c r="K224" s="6">
        <v>153.7046493982775</v>
      </c>
      <c r="L224" s="6">
        <v>179.2</v>
      </c>
      <c r="M224" s="6">
        <v>800</v>
      </c>
      <c r="N224" s="6">
        <v>142.25</v>
      </c>
      <c r="O224" s="6">
        <v>35.817</v>
      </c>
    </row>
    <row r="225" spans="1:15" x14ac:dyDescent="0.25">
      <c r="A225" s="1" t="s">
        <v>280</v>
      </c>
      <c r="B225" s="1" t="s">
        <v>266</v>
      </c>
      <c r="C225" s="6" t="s">
        <v>60</v>
      </c>
      <c r="D225" s="1">
        <v>0.186</v>
      </c>
      <c r="E225" s="6" t="s">
        <v>46</v>
      </c>
      <c r="F225" s="6" t="s">
        <v>48</v>
      </c>
      <c r="G225" s="6" t="s">
        <v>44</v>
      </c>
      <c r="H225" s="1" t="s">
        <v>285</v>
      </c>
      <c r="I225" s="6">
        <v>2</v>
      </c>
      <c r="J225" s="7" t="s">
        <v>16</v>
      </c>
      <c r="K225" s="6">
        <v>153.7046493982775</v>
      </c>
      <c r="L225" s="6">
        <v>179.2</v>
      </c>
      <c r="M225" s="6">
        <v>800</v>
      </c>
      <c r="N225" s="6">
        <v>143.39699999999999</v>
      </c>
      <c r="O225" s="6">
        <v>32.886000000000003</v>
      </c>
    </row>
    <row r="226" spans="1:15" x14ac:dyDescent="0.25">
      <c r="A226" s="1" t="s">
        <v>281</v>
      </c>
      <c r="B226" s="1" t="s">
        <v>252</v>
      </c>
      <c r="C226" s="6" t="s">
        <v>60</v>
      </c>
      <c r="D226" s="1">
        <v>0.186</v>
      </c>
      <c r="E226" s="6" t="s">
        <v>46</v>
      </c>
      <c r="F226" s="6" t="s">
        <v>48</v>
      </c>
      <c r="G226" s="6" t="s">
        <v>44</v>
      </c>
      <c r="H226" s="1" t="s">
        <v>285</v>
      </c>
      <c r="I226" s="6">
        <v>3</v>
      </c>
      <c r="J226" s="7" t="s">
        <v>16</v>
      </c>
      <c r="K226" s="6">
        <v>146.24673659730999</v>
      </c>
      <c r="L226" s="6">
        <v>195</v>
      </c>
      <c r="M226" s="6">
        <v>800</v>
      </c>
      <c r="N226" s="6">
        <v>146.83799999999999</v>
      </c>
      <c r="O226" s="6">
        <v>41.042999999999999</v>
      </c>
    </row>
    <row r="227" spans="1:15" x14ac:dyDescent="0.25">
      <c r="A227" s="1" t="s">
        <v>280</v>
      </c>
      <c r="B227" s="1" t="s">
        <v>267</v>
      </c>
      <c r="C227" s="6" t="s">
        <v>60</v>
      </c>
      <c r="D227" s="1">
        <v>0.186</v>
      </c>
      <c r="E227" s="6" t="s">
        <v>46</v>
      </c>
      <c r="F227" s="6" t="s">
        <v>48</v>
      </c>
      <c r="G227" s="6" t="s">
        <v>44</v>
      </c>
      <c r="H227" s="1" t="s">
        <v>285</v>
      </c>
      <c r="I227" s="6">
        <v>3</v>
      </c>
      <c r="J227" s="7" t="s">
        <v>16</v>
      </c>
      <c r="K227" s="6">
        <v>146.24673659730999</v>
      </c>
      <c r="L227" s="6">
        <v>195</v>
      </c>
      <c r="M227" s="6">
        <v>800</v>
      </c>
      <c r="N227" s="6">
        <v>137.15100000000001</v>
      </c>
      <c r="O227" s="6">
        <v>41.936</v>
      </c>
    </row>
    <row r="228" spans="1:15" x14ac:dyDescent="0.25">
      <c r="A228" s="1" t="s">
        <v>281</v>
      </c>
      <c r="B228" s="1" t="s">
        <v>253</v>
      </c>
      <c r="C228" s="6" t="s">
        <v>60</v>
      </c>
      <c r="D228" s="1">
        <v>0.186</v>
      </c>
      <c r="E228" s="6" t="s">
        <v>46</v>
      </c>
      <c r="F228" s="6" t="s">
        <v>48</v>
      </c>
      <c r="G228" s="6" t="s">
        <v>44</v>
      </c>
      <c r="H228" s="1" t="s">
        <v>285</v>
      </c>
      <c r="I228" s="6">
        <v>4</v>
      </c>
      <c r="J228" s="7" t="s">
        <v>16</v>
      </c>
      <c r="K228" s="6">
        <v>146.24673659730999</v>
      </c>
      <c r="L228" s="6">
        <v>195</v>
      </c>
      <c r="M228" s="6">
        <v>800</v>
      </c>
      <c r="N228" s="6">
        <v>130.268</v>
      </c>
      <c r="O228" s="6">
        <v>43.21</v>
      </c>
    </row>
    <row r="229" spans="1:15" x14ac:dyDescent="0.25">
      <c r="A229" s="1" t="s">
        <v>280</v>
      </c>
      <c r="B229" s="1" t="s">
        <v>268</v>
      </c>
      <c r="C229" s="6" t="s">
        <v>60</v>
      </c>
      <c r="D229" s="1">
        <v>0.186</v>
      </c>
      <c r="E229" s="6" t="s">
        <v>46</v>
      </c>
      <c r="F229" s="6" t="s">
        <v>48</v>
      </c>
      <c r="G229" s="6" t="s">
        <v>44</v>
      </c>
      <c r="H229" s="1" t="s">
        <v>285</v>
      </c>
      <c r="I229" s="6">
        <v>4</v>
      </c>
      <c r="J229" s="7" t="s">
        <v>16</v>
      </c>
      <c r="K229" s="6">
        <v>146.24673659730999</v>
      </c>
      <c r="L229" s="6">
        <v>195</v>
      </c>
      <c r="M229" s="6">
        <v>800</v>
      </c>
      <c r="N229" s="6">
        <v>133.58199999999999</v>
      </c>
      <c r="O229" s="6">
        <v>42.573</v>
      </c>
    </row>
    <row r="230" spans="1:15" x14ac:dyDescent="0.25">
      <c r="A230" s="1" t="s">
        <v>281</v>
      </c>
      <c r="B230" s="1" t="s">
        <v>254</v>
      </c>
      <c r="C230" s="6" t="s">
        <v>60</v>
      </c>
      <c r="D230" s="1">
        <v>0.186</v>
      </c>
      <c r="E230" s="6" t="s">
        <v>46</v>
      </c>
      <c r="F230" s="6" t="s">
        <v>48</v>
      </c>
      <c r="G230" s="6" t="s">
        <v>44</v>
      </c>
      <c r="H230" s="1" t="s">
        <v>285</v>
      </c>
      <c r="I230" s="6">
        <v>6</v>
      </c>
      <c r="J230" s="7" t="s">
        <v>16</v>
      </c>
      <c r="K230" s="6">
        <v>124.86906019393147</v>
      </c>
      <c r="L230" s="6">
        <v>195</v>
      </c>
      <c r="M230" s="6">
        <v>800</v>
      </c>
      <c r="N230" s="6">
        <v>120.071</v>
      </c>
      <c r="O230" s="6">
        <v>49.582999999999998</v>
      </c>
    </row>
    <row r="231" spans="1:15" x14ac:dyDescent="0.25">
      <c r="A231" s="1" t="s">
        <v>280</v>
      </c>
      <c r="B231" s="1" t="s">
        <v>269</v>
      </c>
      <c r="C231" s="6" t="s">
        <v>60</v>
      </c>
      <c r="D231" s="1">
        <v>0.186</v>
      </c>
      <c r="E231" s="6" t="s">
        <v>46</v>
      </c>
      <c r="F231" s="6" t="s">
        <v>48</v>
      </c>
      <c r="G231" s="6" t="s">
        <v>44</v>
      </c>
      <c r="H231" s="1" t="s">
        <v>285</v>
      </c>
      <c r="I231" s="6">
        <v>6</v>
      </c>
      <c r="J231" s="7" t="s">
        <v>16</v>
      </c>
      <c r="K231" s="6">
        <v>124.86906019393147</v>
      </c>
      <c r="L231" s="6">
        <v>195</v>
      </c>
      <c r="M231" s="6">
        <v>800</v>
      </c>
      <c r="N231" s="6">
        <v>126.699</v>
      </c>
      <c r="O231" s="6">
        <v>50.475999999999999</v>
      </c>
    </row>
    <row r="232" spans="1:15" x14ac:dyDescent="0.25">
      <c r="A232" s="1" t="s">
        <v>281</v>
      </c>
      <c r="B232" s="1" t="s">
        <v>255</v>
      </c>
      <c r="C232" s="6" t="s">
        <v>60</v>
      </c>
      <c r="D232" s="1">
        <v>0.186</v>
      </c>
      <c r="E232" s="6" t="s">
        <v>46</v>
      </c>
      <c r="F232" s="6" t="s">
        <v>48</v>
      </c>
      <c r="G232" s="6" t="s">
        <v>44</v>
      </c>
      <c r="H232" s="1" t="s">
        <v>285</v>
      </c>
      <c r="I232" s="6">
        <v>7</v>
      </c>
      <c r="J232" s="7" t="s">
        <v>16</v>
      </c>
      <c r="K232" s="6">
        <v>118.17533425903757</v>
      </c>
      <c r="L232" s="6">
        <v>195</v>
      </c>
      <c r="M232" s="6">
        <v>800</v>
      </c>
      <c r="N232" s="6">
        <v>121.855</v>
      </c>
      <c r="O232" s="6">
        <v>60.8</v>
      </c>
    </row>
    <row r="233" spans="1:15" x14ac:dyDescent="0.25">
      <c r="A233" s="1" t="s">
        <v>280</v>
      </c>
      <c r="B233" s="1" t="s">
        <v>270</v>
      </c>
      <c r="C233" s="6" t="s">
        <v>60</v>
      </c>
      <c r="D233" s="1">
        <v>0.186</v>
      </c>
      <c r="E233" s="6" t="s">
        <v>46</v>
      </c>
      <c r="F233" s="6" t="s">
        <v>48</v>
      </c>
      <c r="G233" s="6" t="s">
        <v>44</v>
      </c>
      <c r="H233" s="1" t="s">
        <v>285</v>
      </c>
      <c r="I233" s="6">
        <v>7</v>
      </c>
      <c r="J233" s="7" t="s">
        <v>16</v>
      </c>
      <c r="K233" s="6">
        <v>118.17533425903757</v>
      </c>
      <c r="L233" s="6">
        <v>195</v>
      </c>
      <c r="M233" s="6">
        <v>800</v>
      </c>
      <c r="N233" s="6">
        <v>119.306</v>
      </c>
      <c r="O233" s="6">
        <v>56.975999999999999</v>
      </c>
    </row>
    <row r="234" spans="1:15" x14ac:dyDescent="0.25">
      <c r="A234" t="s">
        <v>281</v>
      </c>
      <c r="B234" t="s">
        <v>256</v>
      </c>
      <c r="C234" t="s">
        <v>60</v>
      </c>
      <c r="D234">
        <v>0.186</v>
      </c>
      <c r="E234" t="s">
        <v>46</v>
      </c>
      <c r="F234" t="s">
        <v>48</v>
      </c>
      <c r="G234" t="s">
        <v>44</v>
      </c>
      <c r="H234" t="s">
        <v>285</v>
      </c>
      <c r="I234">
        <v>9</v>
      </c>
      <c r="J234" t="s">
        <v>16</v>
      </c>
      <c r="K234">
        <v>111.76346334762462</v>
      </c>
      <c r="L234">
        <v>195</v>
      </c>
      <c r="M234">
        <v>800</v>
      </c>
      <c r="N234">
        <v>119.434</v>
      </c>
      <c r="O234">
        <v>72.144999999999996</v>
      </c>
    </row>
    <row r="235" spans="1:15" x14ac:dyDescent="0.25">
      <c r="A235" t="s">
        <v>280</v>
      </c>
      <c r="B235" t="s">
        <v>271</v>
      </c>
      <c r="C235" t="s">
        <v>60</v>
      </c>
      <c r="D235">
        <v>0.186</v>
      </c>
      <c r="E235" t="s">
        <v>46</v>
      </c>
      <c r="F235" t="s">
        <v>48</v>
      </c>
      <c r="G235" t="s">
        <v>44</v>
      </c>
      <c r="H235" t="s">
        <v>285</v>
      </c>
      <c r="I235">
        <v>9</v>
      </c>
      <c r="J235" t="s">
        <v>16</v>
      </c>
      <c r="K235">
        <v>111.76346334762462</v>
      </c>
      <c r="L235">
        <v>195</v>
      </c>
      <c r="M235">
        <v>800</v>
      </c>
      <c r="N235">
        <v>122.875</v>
      </c>
      <c r="O235">
        <v>72.144999999999996</v>
      </c>
    </row>
    <row r="236" spans="1:15" x14ac:dyDescent="0.25">
      <c r="A236" s="1" t="s">
        <v>281</v>
      </c>
      <c r="B236" s="1" t="s">
        <v>257</v>
      </c>
      <c r="C236" s="6" t="s">
        <v>60</v>
      </c>
      <c r="D236" s="1">
        <v>0.186</v>
      </c>
      <c r="E236" s="6" t="s">
        <v>46</v>
      </c>
      <c r="F236" s="6" t="s">
        <v>48</v>
      </c>
      <c r="G236" s="6" t="s">
        <v>44</v>
      </c>
      <c r="H236" s="1" t="s">
        <v>285</v>
      </c>
      <c r="I236" s="6">
        <v>10</v>
      </c>
      <c r="J236" s="7" t="s">
        <v>16</v>
      </c>
      <c r="K236" s="6">
        <v>108.67889997639378</v>
      </c>
      <c r="L236" s="6">
        <v>195</v>
      </c>
      <c r="M236" s="6">
        <v>800</v>
      </c>
      <c r="N236" s="6">
        <v>128.738</v>
      </c>
      <c r="O236" s="6">
        <v>86.674999999999997</v>
      </c>
    </row>
    <row r="237" spans="1:15" x14ac:dyDescent="0.25">
      <c r="A237" s="1" t="s">
        <v>280</v>
      </c>
      <c r="B237" s="1" t="s">
        <v>272</v>
      </c>
      <c r="C237" s="6" t="s">
        <v>60</v>
      </c>
      <c r="D237" s="1">
        <v>0.186</v>
      </c>
      <c r="E237" s="6" t="s">
        <v>46</v>
      </c>
      <c r="F237" s="6" t="s">
        <v>48</v>
      </c>
      <c r="G237" s="6" t="s">
        <v>44</v>
      </c>
      <c r="H237" s="1" t="s">
        <v>285</v>
      </c>
      <c r="I237" s="6">
        <v>10</v>
      </c>
      <c r="J237" s="7" t="s">
        <v>16</v>
      </c>
      <c r="K237" s="6">
        <v>108.67889997639378</v>
      </c>
      <c r="L237" s="6">
        <v>195</v>
      </c>
      <c r="M237" s="6">
        <v>800</v>
      </c>
      <c r="N237" s="6">
        <v>125.55200000000001</v>
      </c>
      <c r="O237" s="6">
        <v>85.146000000000001</v>
      </c>
    </row>
    <row r="238" spans="1:15" x14ac:dyDescent="0.25">
      <c r="A238" s="1" t="s">
        <v>281</v>
      </c>
      <c r="B238" s="1" t="s">
        <v>258</v>
      </c>
      <c r="C238" s="6" t="s">
        <v>60</v>
      </c>
      <c r="D238" s="1">
        <v>0.186</v>
      </c>
      <c r="E238" s="6" t="s">
        <v>46</v>
      </c>
      <c r="F238" s="6" t="s">
        <v>48</v>
      </c>
      <c r="G238" s="6" t="s">
        <v>44</v>
      </c>
      <c r="H238" s="1" t="s">
        <v>285</v>
      </c>
      <c r="I238" s="6">
        <v>11</v>
      </c>
      <c r="J238" s="7" t="s">
        <v>16</v>
      </c>
      <c r="K238" s="6">
        <v>114.93117004758945</v>
      </c>
      <c r="L238" s="6">
        <v>195</v>
      </c>
      <c r="M238" s="6">
        <v>800</v>
      </c>
      <c r="N238" s="6">
        <v>126.827</v>
      </c>
      <c r="O238" s="6">
        <v>66.918999999999997</v>
      </c>
    </row>
    <row r="239" spans="1:15" x14ac:dyDescent="0.25">
      <c r="A239" s="1" t="s">
        <v>280</v>
      </c>
      <c r="B239" s="1" t="s">
        <v>273</v>
      </c>
      <c r="C239" s="6" t="s">
        <v>60</v>
      </c>
      <c r="D239" s="1">
        <v>0.186</v>
      </c>
      <c r="E239" s="6" t="s">
        <v>46</v>
      </c>
      <c r="F239" s="6" t="s">
        <v>48</v>
      </c>
      <c r="G239" s="6" t="s">
        <v>44</v>
      </c>
      <c r="H239" s="1" t="s">
        <v>285</v>
      </c>
      <c r="I239" s="6">
        <v>11</v>
      </c>
      <c r="J239" s="7" t="s">
        <v>16</v>
      </c>
      <c r="K239" s="6">
        <v>114.93117004758945</v>
      </c>
      <c r="L239" s="6">
        <v>195</v>
      </c>
      <c r="M239" s="6">
        <v>800</v>
      </c>
      <c r="N239" s="6">
        <v>127.464</v>
      </c>
      <c r="O239" s="6">
        <v>69.34</v>
      </c>
    </row>
    <row r="240" spans="1:15" x14ac:dyDescent="0.25">
      <c r="A240" s="1" t="s">
        <v>281</v>
      </c>
      <c r="B240" s="1" t="s">
        <v>259</v>
      </c>
      <c r="C240" s="6" t="s">
        <v>60</v>
      </c>
      <c r="D240" s="1">
        <v>0.186</v>
      </c>
      <c r="E240" s="6" t="s">
        <v>46</v>
      </c>
      <c r="F240" s="6" t="s">
        <v>48</v>
      </c>
      <c r="G240" s="6" t="s">
        <v>44</v>
      </c>
      <c r="H240" s="1" t="s">
        <v>285</v>
      </c>
      <c r="I240" s="6">
        <v>12</v>
      </c>
      <c r="J240" s="7" t="s">
        <v>16</v>
      </c>
      <c r="K240" s="6">
        <v>105.68476016142262</v>
      </c>
      <c r="L240" s="6">
        <v>195</v>
      </c>
      <c r="M240" s="6">
        <v>800</v>
      </c>
      <c r="N240" s="6">
        <v>125.934</v>
      </c>
      <c r="O240" s="6">
        <v>82.468999999999994</v>
      </c>
    </row>
    <row r="241" spans="1:15" x14ac:dyDescent="0.25">
      <c r="A241" s="1" t="s">
        <v>280</v>
      </c>
      <c r="B241" s="1" t="s">
        <v>274</v>
      </c>
      <c r="C241" s="6" t="s">
        <v>60</v>
      </c>
      <c r="D241" s="1">
        <v>0.186</v>
      </c>
      <c r="E241" s="6" t="s">
        <v>46</v>
      </c>
      <c r="F241" s="6" t="s">
        <v>48</v>
      </c>
      <c r="G241" s="6" t="s">
        <v>44</v>
      </c>
      <c r="H241" s="1" t="s">
        <v>285</v>
      </c>
      <c r="I241" s="6">
        <v>12</v>
      </c>
      <c r="J241" s="7" t="s">
        <v>16</v>
      </c>
      <c r="K241" s="6">
        <v>105.68476016142262</v>
      </c>
      <c r="L241" s="6">
        <v>195</v>
      </c>
      <c r="M241" s="6">
        <v>800</v>
      </c>
      <c r="N241" s="6">
        <v>127.846</v>
      </c>
      <c r="O241" s="6">
        <v>82.087000000000003</v>
      </c>
    </row>
    <row r="242" spans="1:15" x14ac:dyDescent="0.25">
      <c r="A242" s="1" t="s">
        <v>281</v>
      </c>
      <c r="B242" s="1" t="s">
        <v>260</v>
      </c>
      <c r="C242" s="6" t="s">
        <v>60</v>
      </c>
      <c r="D242" s="1">
        <v>0.186</v>
      </c>
      <c r="E242" s="6" t="s">
        <v>46</v>
      </c>
      <c r="F242" s="6" t="s">
        <v>48</v>
      </c>
      <c r="G242" s="6" t="s">
        <v>44</v>
      </c>
      <c r="H242" s="1" t="s">
        <v>285</v>
      </c>
      <c r="I242" s="6">
        <v>13</v>
      </c>
      <c r="J242" s="7" t="s">
        <v>16</v>
      </c>
      <c r="K242" s="6">
        <v>102.7889460513682</v>
      </c>
      <c r="L242" s="6">
        <v>195</v>
      </c>
      <c r="M242" s="6">
        <v>800</v>
      </c>
      <c r="N242" s="6">
        <v>132.435</v>
      </c>
      <c r="O242" s="6">
        <v>96.108000000000004</v>
      </c>
    </row>
    <row r="243" spans="1:15" x14ac:dyDescent="0.25">
      <c r="A243" s="1" t="s">
        <v>280</v>
      </c>
      <c r="B243" s="1" t="s">
        <v>275</v>
      </c>
      <c r="C243" s="6" t="s">
        <v>60</v>
      </c>
      <c r="D243" s="1">
        <v>0.186</v>
      </c>
      <c r="E243" s="6" t="s">
        <v>46</v>
      </c>
      <c r="F243" s="6" t="s">
        <v>48</v>
      </c>
      <c r="G243" s="6" t="s">
        <v>44</v>
      </c>
      <c r="H243" s="1" t="s">
        <v>285</v>
      </c>
      <c r="I243" s="6">
        <v>13</v>
      </c>
      <c r="J243" s="7" t="s">
        <v>16</v>
      </c>
      <c r="K243" s="6">
        <v>102.7889460513682</v>
      </c>
      <c r="L243" s="6">
        <v>195</v>
      </c>
      <c r="M243" s="6">
        <v>800</v>
      </c>
      <c r="N243" s="6">
        <v>129.886</v>
      </c>
      <c r="O243" s="6">
        <v>98.784000000000006</v>
      </c>
    </row>
    <row r="244" spans="1:15" x14ac:dyDescent="0.25">
      <c r="A244" s="1" t="s">
        <v>281</v>
      </c>
      <c r="B244" s="1" t="s">
        <v>261</v>
      </c>
      <c r="C244" s="6" t="s">
        <v>60</v>
      </c>
      <c r="D244" s="1">
        <v>0.186</v>
      </c>
      <c r="E244" s="6" t="s">
        <v>46</v>
      </c>
      <c r="F244" s="6" t="s">
        <v>48</v>
      </c>
      <c r="G244" s="6" t="s">
        <v>44</v>
      </c>
      <c r="H244" s="1" t="s">
        <v>285</v>
      </c>
      <c r="I244" s="2">
        <v>14</v>
      </c>
      <c r="J244" s="7" t="s">
        <v>16</v>
      </c>
      <c r="K244" s="6">
        <v>100.00000000000001</v>
      </c>
      <c r="L244" s="6">
        <v>195</v>
      </c>
      <c r="M244" s="6">
        <v>800</v>
      </c>
      <c r="N244" s="6">
        <v>123.13</v>
      </c>
      <c r="O244" s="6">
        <v>94.960999999999999</v>
      </c>
    </row>
    <row r="245" spans="1:15" x14ac:dyDescent="0.25">
      <c r="A245" s="1" t="s">
        <v>280</v>
      </c>
      <c r="B245" s="1" t="s">
        <v>276</v>
      </c>
      <c r="C245" s="6" t="s">
        <v>60</v>
      </c>
      <c r="D245" s="1">
        <v>0.186</v>
      </c>
      <c r="E245" s="6" t="s">
        <v>46</v>
      </c>
      <c r="F245" s="6" t="s">
        <v>48</v>
      </c>
      <c r="G245" s="6" t="s">
        <v>44</v>
      </c>
      <c r="H245" s="1" t="s">
        <v>285</v>
      </c>
      <c r="I245" s="6">
        <v>14</v>
      </c>
      <c r="J245" s="7" t="s">
        <v>16</v>
      </c>
      <c r="K245" s="6">
        <v>100.00000000000001</v>
      </c>
      <c r="L245" s="6">
        <v>195</v>
      </c>
      <c r="M245" s="6">
        <v>800</v>
      </c>
      <c r="N245" s="6">
        <v>127.081</v>
      </c>
      <c r="O245" s="6">
        <v>94.067999999999998</v>
      </c>
    </row>
    <row r="246" spans="1:15" x14ac:dyDescent="0.25">
      <c r="A246" s="1" t="s">
        <v>281</v>
      </c>
      <c r="B246" s="1" t="s">
        <v>262</v>
      </c>
      <c r="C246" s="6" t="s">
        <v>60</v>
      </c>
      <c r="D246" s="1">
        <v>0.186</v>
      </c>
      <c r="E246" s="6" t="s">
        <v>46</v>
      </c>
      <c r="F246" s="6" t="s">
        <v>48</v>
      </c>
      <c r="G246" s="6" t="s">
        <v>44</v>
      </c>
      <c r="H246" s="1" t="s">
        <v>285</v>
      </c>
      <c r="I246" s="2">
        <v>15</v>
      </c>
      <c r="J246" s="7" t="s">
        <v>16</v>
      </c>
      <c r="K246" s="6">
        <v>100.00000000000001</v>
      </c>
      <c r="L246" s="6">
        <v>179.2</v>
      </c>
      <c r="M246" s="6">
        <v>800</v>
      </c>
      <c r="N246" s="6">
        <v>128.101</v>
      </c>
      <c r="O246" s="6">
        <v>83.744</v>
      </c>
    </row>
    <row r="247" spans="1:15" x14ac:dyDescent="0.25">
      <c r="A247" s="1" t="s">
        <v>280</v>
      </c>
      <c r="B247" s="1" t="s">
        <v>279</v>
      </c>
      <c r="C247" s="6" t="s">
        <v>60</v>
      </c>
      <c r="D247" s="1">
        <v>0.186</v>
      </c>
      <c r="E247" s="6" t="s">
        <v>46</v>
      </c>
      <c r="F247" s="6" t="s">
        <v>48</v>
      </c>
      <c r="G247" s="6" t="s">
        <v>44</v>
      </c>
      <c r="H247" s="1" t="s">
        <v>285</v>
      </c>
      <c r="I247" s="6">
        <v>15</v>
      </c>
      <c r="J247" s="7" t="s">
        <v>16</v>
      </c>
      <c r="K247" s="6">
        <v>100.00000000000001</v>
      </c>
      <c r="L247" s="6">
        <v>179.2</v>
      </c>
      <c r="M247" s="6">
        <v>800</v>
      </c>
      <c r="N247" s="6">
        <v>128.101</v>
      </c>
      <c r="O247" s="6">
        <v>85.783000000000001</v>
      </c>
    </row>
    <row r="248" spans="1:15" x14ac:dyDescent="0.25">
      <c r="A248" s="1" t="s">
        <v>281</v>
      </c>
      <c r="B248" s="1" t="s">
        <v>264</v>
      </c>
      <c r="C248" s="6" t="s">
        <v>60</v>
      </c>
      <c r="D248" s="1">
        <v>0.186</v>
      </c>
      <c r="E248" s="6" t="s">
        <v>46</v>
      </c>
      <c r="F248" s="6" t="s">
        <v>48</v>
      </c>
      <c r="G248" s="6" t="s">
        <v>44</v>
      </c>
      <c r="H248" s="1" t="s">
        <v>285</v>
      </c>
      <c r="I248" s="2">
        <v>16</v>
      </c>
      <c r="J248" s="7" t="s">
        <v>16</v>
      </c>
      <c r="K248" s="6">
        <v>211.11</v>
      </c>
      <c r="L248" s="6">
        <v>195</v>
      </c>
      <c r="M248" s="6">
        <v>800</v>
      </c>
      <c r="N248" s="6">
        <v>160.22200000000001</v>
      </c>
      <c r="O248" s="6">
        <v>35.561999999999998</v>
      </c>
    </row>
    <row r="249" spans="1:15" x14ac:dyDescent="0.25">
      <c r="A249" s="1" t="s">
        <v>280</v>
      </c>
      <c r="B249" s="1" t="s">
        <v>278</v>
      </c>
      <c r="C249" s="6" t="s">
        <v>60</v>
      </c>
      <c r="D249" s="1">
        <v>0.186</v>
      </c>
      <c r="E249" s="6" t="s">
        <v>46</v>
      </c>
      <c r="F249" s="6" t="s">
        <v>48</v>
      </c>
      <c r="G249" s="6" t="s">
        <v>44</v>
      </c>
      <c r="H249" s="1" t="s">
        <v>285</v>
      </c>
      <c r="I249" s="6">
        <v>16</v>
      </c>
      <c r="J249" s="7" t="s">
        <v>16</v>
      </c>
      <c r="K249" s="6">
        <v>211.11</v>
      </c>
      <c r="L249" s="6">
        <v>195</v>
      </c>
      <c r="M249" s="6">
        <v>800</v>
      </c>
      <c r="N249" s="6">
        <v>160.732</v>
      </c>
      <c r="O249" s="6">
        <v>34.924999999999997</v>
      </c>
    </row>
    <row r="250" spans="1:15" x14ac:dyDescent="0.25">
      <c r="A250" s="1" t="s">
        <v>281</v>
      </c>
      <c r="B250" s="1" t="s">
        <v>263</v>
      </c>
      <c r="C250" s="6" t="s">
        <v>60</v>
      </c>
      <c r="D250" s="1">
        <v>0.186</v>
      </c>
      <c r="E250" s="6" t="s">
        <v>46</v>
      </c>
      <c r="F250" s="6" t="s">
        <v>48</v>
      </c>
      <c r="G250" s="6" t="s">
        <v>44</v>
      </c>
      <c r="H250" s="1" t="s">
        <v>285</v>
      </c>
      <c r="I250" s="2">
        <v>17</v>
      </c>
      <c r="J250" s="7" t="s">
        <v>16</v>
      </c>
      <c r="K250" s="6">
        <v>255.55400000000003</v>
      </c>
      <c r="L250" s="6">
        <v>195</v>
      </c>
      <c r="M250" s="6">
        <v>800</v>
      </c>
      <c r="N250" s="6">
        <v>179.214</v>
      </c>
      <c r="O250" s="6">
        <v>33.012999999999998</v>
      </c>
    </row>
    <row r="251" spans="1:15" x14ac:dyDescent="0.25">
      <c r="A251" s="1" t="s">
        <v>280</v>
      </c>
      <c r="B251" s="1" t="s">
        <v>277</v>
      </c>
      <c r="C251" s="6" t="s">
        <v>60</v>
      </c>
      <c r="D251" s="1">
        <v>0.186</v>
      </c>
      <c r="E251" s="6" t="s">
        <v>46</v>
      </c>
      <c r="F251" s="6" t="s">
        <v>48</v>
      </c>
      <c r="G251" s="6" t="s">
        <v>44</v>
      </c>
      <c r="H251" s="1" t="s">
        <v>285</v>
      </c>
      <c r="I251" s="6">
        <v>17</v>
      </c>
      <c r="J251" s="7" t="s">
        <v>16</v>
      </c>
      <c r="K251" s="6">
        <v>255.55400000000003</v>
      </c>
      <c r="L251" s="6">
        <v>195</v>
      </c>
      <c r="M251" s="6">
        <v>800</v>
      </c>
      <c r="N251" s="6">
        <v>178.83199999999999</v>
      </c>
      <c r="O251" s="6">
        <v>32.247999999999998</v>
      </c>
    </row>
  </sheetData>
  <sortState xmlns:xlrd2="http://schemas.microsoft.com/office/spreadsheetml/2017/richdata2" ref="V106:Y163">
    <sortCondition ref="V106:V163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2FEC-A991-44AC-B6BF-237156B87960}">
  <dimension ref="A1:Y71"/>
  <sheetViews>
    <sheetView tabSelected="1" topLeftCell="B1" zoomScale="85" zoomScaleNormal="85" workbookViewId="0">
      <selection activeCell="R2" sqref="R2"/>
    </sheetView>
  </sheetViews>
  <sheetFormatPr defaultRowHeight="15" x14ac:dyDescent="0.25"/>
  <cols>
    <col min="1" max="2" width="13.28515625" customWidth="1"/>
    <col min="3" max="3" width="13.28515625" style="10" customWidth="1"/>
    <col min="4" max="6" width="13.28515625" customWidth="1"/>
    <col min="7" max="7" width="13.28515625" style="17" customWidth="1"/>
    <col min="8" max="19" width="13.28515625" customWidth="1"/>
  </cols>
  <sheetData>
    <row r="1" spans="1:25" s="13" customFormat="1" ht="75" x14ac:dyDescent="0.25">
      <c r="A1" s="11" t="s">
        <v>2</v>
      </c>
      <c r="B1" s="11" t="s">
        <v>4</v>
      </c>
      <c r="C1" s="12" t="s">
        <v>296</v>
      </c>
      <c r="D1" s="11" t="s">
        <v>8</v>
      </c>
      <c r="E1" s="11" t="s">
        <v>289</v>
      </c>
      <c r="F1" s="11" t="s">
        <v>288</v>
      </c>
      <c r="G1" s="15" t="s">
        <v>301</v>
      </c>
      <c r="H1" s="11" t="s">
        <v>286</v>
      </c>
      <c r="I1" s="11" t="s">
        <v>287</v>
      </c>
      <c r="J1" s="11" t="s">
        <v>290</v>
      </c>
      <c r="K1" s="11" t="s">
        <v>291</v>
      </c>
      <c r="L1" s="11" t="s">
        <v>295</v>
      </c>
      <c r="M1" s="11" t="s">
        <v>298</v>
      </c>
      <c r="N1" s="11" t="s">
        <v>300</v>
      </c>
      <c r="O1" s="11" t="s">
        <v>292</v>
      </c>
      <c r="P1" s="11" t="s">
        <v>293</v>
      </c>
      <c r="Q1" s="11" t="s">
        <v>294</v>
      </c>
      <c r="R1" s="11" t="s">
        <v>297</v>
      </c>
      <c r="S1" s="11" t="s">
        <v>299</v>
      </c>
      <c r="T1" s="11"/>
      <c r="U1" s="11"/>
      <c r="V1" s="11"/>
      <c r="W1" s="11"/>
      <c r="X1" s="11"/>
      <c r="Y1" s="11"/>
    </row>
    <row r="2" spans="1:25" x14ac:dyDescent="0.25">
      <c r="A2" s="1" t="s">
        <v>13</v>
      </c>
      <c r="B2" s="1" t="s">
        <v>15</v>
      </c>
      <c r="C2" s="8">
        <v>80</v>
      </c>
      <c r="D2" s="1">
        <v>285</v>
      </c>
      <c r="E2" s="1">
        <v>960</v>
      </c>
      <c r="F2" s="1">
        <f t="array" ref="F2">COUNT(IF((Data!$F$2:$F$251=$A2)*(Data!$H$2:$H$251=$B2)*(Data!$K$2:$K$251=$C2)*(Data!$L$2:$L$251=$D2)*(Data!$M$2:$M$251=$E2),Data!$N$2:$N$251," " ))</f>
        <v>18</v>
      </c>
      <c r="G2" s="16">
        <v>1.0244</v>
      </c>
      <c r="H2" s="14">
        <v>0.5</v>
      </c>
      <c r="I2" s="14">
        <f>2*Data!D2</f>
        <v>0.31</v>
      </c>
      <c r="J2" s="14">
        <f t="array" ref="J2">AVERAGE(IF((Data!$F$2:$F$251=$A2)*(Data!$H$2:$H$251=$B2)*(Data!$K$2:$K$251=$C2)*(Data!$L$2:$L$251=$D2)*(Data!$M$2:$M$251=$E2),Data!$N$2:$N$251," " ))</f>
        <v>141.33638888888891</v>
      </c>
      <c r="K2" s="14">
        <f t="array" ref="K2">STDEV(IF((Data!$F$2:$F$251=$A2)*(Data!$H$2:$H$251=$B2)*(Data!$K$2:$K$251=$C2)*(Data!$L$2:$L$251=$D2)*(Data!$M$2:$M$251=$E2),Data!$N$2:$N$251," " ))</f>
        <v>2.7230069481860064</v>
      </c>
      <c r="L2" s="14">
        <f t="shared" ref="L2:L33" si="0">G2*K2/SQRT(F2)</f>
        <v>0.65747927374348447</v>
      </c>
      <c r="M2" s="14">
        <f t="shared" ref="M2:M33" si="1">J2*2%</f>
        <v>2.8267277777777782</v>
      </c>
      <c r="N2" s="14">
        <f t="shared" ref="N2:N33" si="2">2*SQRT(SUMSQ(H2,I2,L2,M2))</f>
        <v>5.9224214389260599</v>
      </c>
      <c r="O2" s="14">
        <f t="array" ref="O2">AVERAGE(IF((Data!$F$2:$F$251=$A2)*(Data!$H$2:$H$251=$B2)*(Data!$K$2:$K$251=$C2)*(Data!$L$2:$L$251=$D2)*(Data!$M$2:$M$251=$E2),Data!$O$2:$O$251," " ))</f>
        <v>122.3881111111111</v>
      </c>
      <c r="P2" s="14">
        <f t="array" ref="P2">STDEV(IF((Data!$F$2:$F$251=$A2)*(Data!$H$2:$H$251=$B2)*(Data!$K$2:$K$251=$C2)*(Data!$L$2:$L$251=$D2)*(Data!$M$2:$M$251=$E2),Data!$O$2:$O$251," " ))</f>
        <v>2.0901070867271194</v>
      </c>
      <c r="Q2" s="14">
        <f t="shared" ref="Q2:Q33" si="3">G2*P2/SQRT(F2)</f>
        <v>0.50466345315163907</v>
      </c>
      <c r="R2" s="14">
        <f t="shared" ref="R2:R33" si="4">O2*5%</f>
        <v>6.1194055555555558</v>
      </c>
      <c r="S2" s="14">
        <f t="shared" ref="S2:S33" si="5">2*SQRT(SUMSQ(H2,I2,Q2,R2))</f>
        <v>12.336597513789796</v>
      </c>
      <c r="T2" s="1"/>
      <c r="U2" s="1"/>
      <c r="V2" s="1"/>
      <c r="W2" s="1"/>
      <c r="X2" s="1"/>
      <c r="Y2" s="1"/>
    </row>
    <row r="3" spans="1:25" x14ac:dyDescent="0.25">
      <c r="A3" s="1" t="s">
        <v>13</v>
      </c>
      <c r="B3" s="1" t="s">
        <v>18</v>
      </c>
      <c r="C3" s="8">
        <v>63.167443199999902</v>
      </c>
      <c r="D3" s="1">
        <v>285</v>
      </c>
      <c r="E3" s="1">
        <v>960</v>
      </c>
      <c r="F3" s="1">
        <f t="array" ref="F3">COUNT(IF((Data!$F$2:$F$251=$A3)*(Data!$H$2:$H$251=$B3)*(Data!$K$2:$K$251=$C3)*(Data!$L$2:$L$251=$D3)*(Data!$M$2:$M$251=$E3),Data!$N$2:$N$251," " ))</f>
        <v>12</v>
      </c>
      <c r="G3" s="16">
        <v>1.0415000000000001</v>
      </c>
      <c r="H3" s="14">
        <v>0.5</v>
      </c>
      <c r="I3" s="14">
        <f>2*Data!D3</f>
        <v>0.31</v>
      </c>
      <c r="J3" s="14">
        <f t="array" ref="J3">AVERAGE(IF((Data!$F$2:$F$251=$A3)*(Data!$H$2:$H$251=$B3)*(Data!$K$2:$K$251=$C3)*(Data!$L$2:$L$251=$D3)*(Data!$M$2:$M$251=$E3),Data!$N$2:$N$251," " ))</f>
        <v>133.30491666666666</v>
      </c>
      <c r="K3" s="14">
        <f t="array" ref="K3">STDEV(IF((Data!$F$2:$F$251=$A3)*(Data!$H$2:$H$251=$B3)*(Data!$K$2:$K$251=$C3)*(Data!$L$2:$L$251=$D3)*(Data!$M$2:$M$251=$E3),Data!$N$2:$N$251," " ))</f>
        <v>7.0344609466970605</v>
      </c>
      <c r="L3" s="14">
        <f t="shared" si="0"/>
        <v>2.1149469299542027</v>
      </c>
      <c r="M3" s="14">
        <f t="shared" si="1"/>
        <v>2.6660983333333332</v>
      </c>
      <c r="N3" s="14">
        <f t="shared" si="2"/>
        <v>6.9071501618324422</v>
      </c>
      <c r="O3" s="14">
        <f t="array" ref="O3">AVERAGE(IF((Data!$F$2:$F$251=$A3)*(Data!$H$2:$H$251=$B3)*(Data!$K$2:$K$251=$C3)*(Data!$L$2:$L$251=$D3)*(Data!$M$2:$M$251=$E3),Data!$O$2:$O$251," " ))</f>
        <v>161.22541666666669</v>
      </c>
      <c r="P3" s="14">
        <f t="array" ref="P3">STDEV(IF((Data!$F$2:$F$251=$A3)*(Data!$H$2:$H$251=$B3)*(Data!$K$2:$K$251=$C3)*(Data!$L$2:$L$251=$D3)*(Data!$M$2:$M$251=$E3),Data!$O$2:$O$251," " ))</f>
        <v>17.931003122871175</v>
      </c>
      <c r="Q3" s="14">
        <f t="shared" si="3"/>
        <v>5.3910484816213131</v>
      </c>
      <c r="R3" s="14">
        <f t="shared" si="4"/>
        <v>8.0612708333333352</v>
      </c>
      <c r="S3" s="14">
        <f t="shared" si="5"/>
        <v>19.431272853783117</v>
      </c>
      <c r="T3" s="1"/>
      <c r="U3" s="1"/>
      <c r="V3" s="1"/>
      <c r="W3" s="1"/>
      <c r="X3" s="1"/>
      <c r="Y3" s="1"/>
    </row>
    <row r="4" spans="1:25" x14ac:dyDescent="0.25">
      <c r="A4" s="1" t="s">
        <v>13</v>
      </c>
      <c r="B4" s="1" t="s">
        <v>18</v>
      </c>
      <c r="C4" s="8">
        <v>70.098119999999994</v>
      </c>
      <c r="D4" s="1">
        <v>285</v>
      </c>
      <c r="E4" s="1">
        <v>960</v>
      </c>
      <c r="F4" s="1">
        <f t="array" ref="F4">COUNT(IF((Data!$F$2:$F$251=$A4)*(Data!$H$2:$H$251=$B4)*(Data!$K$2:$K$251=$C4)*(Data!$L$2:$L$251=$D4)*(Data!$M$2:$M$251=$E4),Data!$N$2:$N$251," " ))</f>
        <v>6</v>
      </c>
      <c r="G4" s="16">
        <v>1.1036999999999999</v>
      </c>
      <c r="H4" s="14">
        <v>0.5</v>
      </c>
      <c r="I4" s="14">
        <f>2*Data!D4</f>
        <v>0.31</v>
      </c>
      <c r="J4" s="14">
        <f t="array" ref="J4">AVERAGE(IF((Data!$F$2:$F$251=$A4)*(Data!$H$2:$H$251=$B4)*(Data!$K$2:$K$251=$C4)*(Data!$L$2:$L$251=$D4)*(Data!$M$2:$M$251=$E4),Data!$N$2:$N$251," " ))</f>
        <v>134.55850000000001</v>
      </c>
      <c r="K4" s="14">
        <f t="array" ref="K4">STDEV(IF((Data!$F$2:$F$251=$A4)*(Data!$H$2:$H$251=$B4)*(Data!$K$2:$K$251=$C4)*(Data!$L$2:$L$251=$D4)*(Data!$M$2:$M$251=$E4),Data!$N$2:$N$251," " ))</f>
        <v>7.8678217506499202</v>
      </c>
      <c r="L4" s="14">
        <f t="shared" si="0"/>
        <v>3.5451117489986466</v>
      </c>
      <c r="M4" s="14">
        <f t="shared" si="1"/>
        <v>2.6911700000000001</v>
      </c>
      <c r="N4" s="14">
        <f t="shared" si="2"/>
        <v>8.9791565933083586</v>
      </c>
      <c r="O4" s="14">
        <f t="array" ref="O4">AVERAGE(IF((Data!$F$2:$F$251=$A4)*(Data!$H$2:$H$251=$B4)*(Data!$K$2:$K$251=$C4)*(Data!$L$2:$L$251=$D4)*(Data!$M$2:$M$251=$E4),Data!$O$2:$O$251," " ))</f>
        <v>131.41666666666669</v>
      </c>
      <c r="P4" s="14">
        <f t="array" ref="P4">STDEV(IF((Data!$F$2:$F$251=$A4)*(Data!$H$2:$H$251=$B4)*(Data!$K$2:$K$251=$C4)*(Data!$L$2:$L$251=$D4)*(Data!$M$2:$M$251=$E4),Data!$O$2:$O$251," " ))</f>
        <v>5.0819982552797756</v>
      </c>
      <c r="Q4" s="14">
        <f t="shared" si="3"/>
        <v>2.2898652631136085</v>
      </c>
      <c r="R4" s="14">
        <f t="shared" si="4"/>
        <v>6.5708333333333346</v>
      </c>
      <c r="S4" s="14">
        <f t="shared" si="5"/>
        <v>13.966450317479932</v>
      </c>
      <c r="T4" s="1"/>
      <c r="U4" s="1"/>
      <c r="V4" s="1"/>
      <c r="W4" s="1"/>
      <c r="X4" s="1"/>
      <c r="Y4" s="1"/>
    </row>
    <row r="5" spans="1:25" x14ac:dyDescent="0.25">
      <c r="A5" s="1" t="s">
        <v>13</v>
      </c>
      <c r="B5" s="1" t="s">
        <v>18</v>
      </c>
      <c r="C5" s="8">
        <v>59.052000000000021</v>
      </c>
      <c r="D5" s="1">
        <v>285</v>
      </c>
      <c r="E5" s="1">
        <v>960</v>
      </c>
      <c r="F5" s="1">
        <f t="array" ref="F5">COUNT(IF((Data!$F$2:$F$251=$A5)*(Data!$H$2:$H$251=$B5)*(Data!$K$2:$K$251=$C5)*(Data!$L$2:$L$251=$D5)*(Data!$M$2:$M$251=$E5),Data!$N$2:$N$251," " ))</f>
        <v>6</v>
      </c>
      <c r="G5" s="16">
        <v>1.1036999999999999</v>
      </c>
      <c r="H5" s="14">
        <v>0.5</v>
      </c>
      <c r="I5" s="14">
        <f>2*Data!D5</f>
        <v>0.31</v>
      </c>
      <c r="J5" s="14">
        <f t="array" ref="J5">AVERAGE(IF((Data!$F$2:$F$251=$A5)*(Data!$H$2:$H$251=$B5)*(Data!$K$2:$K$251=$C5)*(Data!$L$2:$L$251=$D5)*(Data!$M$2:$M$251=$E5),Data!$N$2:$N$251," " ))</f>
        <v>123.81766666666665</v>
      </c>
      <c r="K5" s="14">
        <f t="array" ref="K5">STDEV(IF((Data!$F$2:$F$251=$A5)*(Data!$H$2:$H$251=$B5)*(Data!$K$2:$K$251=$C5)*(Data!$L$2:$L$251=$D5)*(Data!$M$2:$M$251=$E5),Data!$N$2:$N$251," " ))</f>
        <v>3.3102313917106505</v>
      </c>
      <c r="L5" s="14">
        <f t="shared" si="0"/>
        <v>1.4915361037110668</v>
      </c>
      <c r="M5" s="14">
        <f t="shared" si="1"/>
        <v>2.476353333333333</v>
      </c>
      <c r="N5" s="14">
        <f t="shared" si="2"/>
        <v>5.9002053456416919</v>
      </c>
      <c r="O5" s="14">
        <f t="array" ref="O5">AVERAGE(IF((Data!$F$2:$F$251=$A5)*(Data!$H$2:$H$251=$B5)*(Data!$K$2:$K$251=$C5)*(Data!$L$2:$L$251=$D5)*(Data!$M$2:$M$251=$E5),Data!$O$2:$O$251," " ))</f>
        <v>177.49249999999998</v>
      </c>
      <c r="P5" s="14">
        <f t="array" ref="P5">STDEV(IF((Data!$F$2:$F$251=$A5)*(Data!$H$2:$H$251=$B5)*(Data!$K$2:$K$251=$C5)*(Data!$L$2:$L$251=$D5)*(Data!$M$2:$M$251=$E5),Data!$O$2:$O$251," " ))</f>
        <v>5.547964518632039</v>
      </c>
      <c r="Q5" s="14">
        <f t="shared" si="3"/>
        <v>2.4998220373263256</v>
      </c>
      <c r="R5" s="14">
        <f t="shared" si="4"/>
        <v>8.874625</v>
      </c>
      <c r="S5" s="14">
        <f t="shared" si="5"/>
        <v>18.477465097672606</v>
      </c>
      <c r="T5" s="1"/>
      <c r="U5" s="1"/>
      <c r="V5" s="1"/>
      <c r="W5" s="1"/>
      <c r="X5" s="1"/>
      <c r="Y5" s="1"/>
    </row>
    <row r="6" spans="1:25" x14ac:dyDescent="0.25">
      <c r="A6" s="1" t="s">
        <v>13</v>
      </c>
      <c r="B6" s="1" t="s">
        <v>18</v>
      </c>
      <c r="C6" s="8">
        <v>48.251680000000079</v>
      </c>
      <c r="D6" s="1">
        <v>285</v>
      </c>
      <c r="E6" s="1">
        <v>960</v>
      </c>
      <c r="F6" s="1">
        <f t="array" ref="F6">COUNT(IF((Data!$F$2:$F$251=$A6)*(Data!$H$2:$H$251=$B6)*(Data!$K$2:$K$251=$C6)*(Data!$L$2:$L$251=$D6)*(Data!$M$2:$M$251=$E6),Data!$N$2:$N$251," " ))</f>
        <v>6</v>
      </c>
      <c r="G6" s="16">
        <v>1.1036999999999999</v>
      </c>
      <c r="H6" s="14">
        <v>0.5</v>
      </c>
      <c r="I6" s="14">
        <f>2*Data!D6</f>
        <v>0.31</v>
      </c>
      <c r="J6" s="14">
        <f t="array" ref="J6">AVERAGE(IF((Data!$F$2:$F$251=$A6)*(Data!$H$2:$H$251=$B6)*(Data!$K$2:$K$251=$C6)*(Data!$L$2:$L$251=$D6)*(Data!$M$2:$M$251=$E6),Data!$N$2:$N$251," " ))</f>
        <v>111.65183333333333</v>
      </c>
      <c r="K6" s="14">
        <f t="array" ref="K6">STDEV(IF((Data!$F$2:$F$251=$A6)*(Data!$H$2:$H$251=$B6)*(Data!$K$2:$K$251=$C6)*(Data!$L$2:$L$251=$D6)*(Data!$M$2:$M$251=$E6),Data!$N$2:$N$251," " ))</f>
        <v>2.7892990099067307</v>
      </c>
      <c r="L6" s="14">
        <f t="shared" si="0"/>
        <v>1.2568124958694971</v>
      </c>
      <c r="M6" s="14">
        <f t="shared" si="1"/>
        <v>2.2330366666666666</v>
      </c>
      <c r="N6" s="14">
        <f t="shared" si="2"/>
        <v>5.2581861528293166</v>
      </c>
      <c r="O6" s="14">
        <f t="array" ref="O6">AVERAGE(IF((Data!$F$2:$F$251=$A6)*(Data!$H$2:$H$251=$B6)*(Data!$K$2:$K$251=$C6)*(Data!$L$2:$L$251=$D6)*(Data!$M$2:$M$251=$E6),Data!$O$2:$O$251," " ))</f>
        <v>244.88783333333333</v>
      </c>
      <c r="P6" s="14">
        <f t="array" ref="P6">STDEV(IF((Data!$F$2:$F$251=$A6)*(Data!$H$2:$H$251=$B6)*(Data!$K$2:$K$251=$C6)*(Data!$L$2:$L$251=$D6)*(Data!$M$2:$M$251=$E6),Data!$O$2:$O$251," " ))</f>
        <v>2.6160048483645202</v>
      </c>
      <c r="Q6" s="14">
        <f t="shared" si="3"/>
        <v>1.1787289820855948</v>
      </c>
      <c r="R6" s="14">
        <f t="shared" si="4"/>
        <v>12.244391666666667</v>
      </c>
      <c r="S6" s="14">
        <f t="shared" si="5"/>
        <v>24.630114031400232</v>
      </c>
      <c r="T6" s="1"/>
      <c r="U6" s="1"/>
      <c r="V6" s="1"/>
      <c r="W6" s="1"/>
      <c r="X6" s="1"/>
      <c r="Y6" s="1"/>
    </row>
    <row r="7" spans="1:25" x14ac:dyDescent="0.25">
      <c r="A7" s="1" t="s">
        <v>13</v>
      </c>
      <c r="B7" s="1" t="s">
        <v>18</v>
      </c>
      <c r="C7" s="8">
        <v>74.341280000000097</v>
      </c>
      <c r="D7" s="1">
        <v>285</v>
      </c>
      <c r="E7" s="1">
        <v>960</v>
      </c>
      <c r="F7" s="1">
        <f t="array" ref="F7">COUNT(IF((Data!$F$2:$F$251=$A7)*(Data!$H$2:$H$251=$B7)*(Data!$K$2:$K$251=$C7)*(Data!$L$2:$L$251=$D7)*(Data!$M$2:$M$251=$E7),Data!$N$2:$N$251," " ))</f>
        <v>12</v>
      </c>
      <c r="G7" s="16">
        <v>1.0415000000000001</v>
      </c>
      <c r="H7" s="14">
        <v>0.5</v>
      </c>
      <c r="I7" s="14">
        <f>2*Data!D7</f>
        <v>0.31</v>
      </c>
      <c r="J7" s="14">
        <f t="array" ref="J7">AVERAGE(IF((Data!$F$2:$F$251=$A7)*(Data!$H$2:$H$251=$B7)*(Data!$K$2:$K$251=$C7)*(Data!$L$2:$L$251=$D7)*(Data!$M$2:$M$251=$E7),Data!$N$2:$N$251," " ))</f>
        <v>139.30666666666667</v>
      </c>
      <c r="K7" s="14">
        <f t="array" ref="K7">STDEV(IF((Data!$F$2:$F$251=$A7)*(Data!$H$2:$H$251=$B7)*(Data!$K$2:$K$251=$C7)*(Data!$L$2:$L$251=$D7)*(Data!$M$2:$M$251=$E7),Data!$N$2:$N$251," " ))</f>
        <v>7.0333774808322893</v>
      </c>
      <c r="L7" s="14">
        <f t="shared" si="0"/>
        <v>2.1146211803592059</v>
      </c>
      <c r="M7" s="14">
        <f t="shared" si="1"/>
        <v>2.7861333333333334</v>
      </c>
      <c r="N7" s="14">
        <f t="shared" si="2"/>
        <v>7.0937329206941167</v>
      </c>
      <c r="O7" s="14">
        <f t="array" ref="O7">AVERAGE(IF((Data!$F$2:$F$251=$A7)*(Data!$H$2:$H$251=$B7)*(Data!$K$2:$K$251=$C7)*(Data!$L$2:$L$251=$D7)*(Data!$M$2:$M$251=$E7),Data!$O$2:$O$251," " ))</f>
        <v>140.41341666666668</v>
      </c>
      <c r="P7" s="14">
        <f t="array" ref="P7">STDEV(IF((Data!$F$2:$F$251=$A7)*(Data!$H$2:$H$251=$B7)*(Data!$K$2:$K$251=$C7)*(Data!$L$2:$L$251=$D7)*(Data!$M$2:$M$251=$E7),Data!$O$2:$O$251," " ))</f>
        <v>5.9196714045526875</v>
      </c>
      <c r="Q7" s="14">
        <f t="shared" si="3"/>
        <v>1.7797797099541641</v>
      </c>
      <c r="R7" s="14">
        <f t="shared" si="4"/>
        <v>7.0206708333333339</v>
      </c>
      <c r="S7" s="14">
        <f t="shared" si="5"/>
        <v>14.533208147684654</v>
      </c>
      <c r="T7" s="1"/>
      <c r="U7" s="1"/>
      <c r="V7" s="1"/>
      <c r="W7" s="1"/>
      <c r="X7" s="1"/>
      <c r="Y7" s="1"/>
    </row>
    <row r="8" spans="1:25" x14ac:dyDescent="0.25">
      <c r="A8" s="1" t="s">
        <v>48</v>
      </c>
      <c r="B8" s="1" t="s">
        <v>18</v>
      </c>
      <c r="C8" s="8">
        <v>50</v>
      </c>
      <c r="D8" s="1">
        <v>195</v>
      </c>
      <c r="E8" s="1">
        <v>800</v>
      </c>
      <c r="F8" s="1">
        <f t="array" ref="F8">COUNT(IF((Data!$F$2:$F$251=$A8)*(Data!$H$2:$H$251=$B8)*(Data!$K$2:$K$251=$C8)*(Data!$L$2:$L$251=$D8)*(Data!$M$2:$M$251=$E8),Data!$N$2:$N$251," " ))</f>
        <v>4</v>
      </c>
      <c r="G8" s="16">
        <v>1.1978</v>
      </c>
      <c r="H8" s="14">
        <v>0.5</v>
      </c>
      <c r="I8" s="14">
        <f>2*Data!D8</f>
        <v>0.31</v>
      </c>
      <c r="J8" s="14">
        <f t="array" ref="J8">AVERAGE(IF((Data!$F$2:$F$251=$A8)*(Data!$H$2:$H$251=$B8)*(Data!$K$2:$K$251=$C8)*(Data!$L$2:$L$251=$D8)*(Data!$M$2:$M$251=$E8),Data!$N$2:$N$251," " ))</f>
        <v>105.54</v>
      </c>
      <c r="K8" s="14">
        <f t="array" ref="K8">STDEV(IF((Data!$F$2:$F$251=$A8)*(Data!$H$2:$H$251=$B8)*(Data!$K$2:$K$251=$C8)*(Data!$L$2:$L$251=$D8)*(Data!$M$2:$M$251=$E8),Data!$N$2:$N$251," " ))</f>
        <v>1.9329299004361189</v>
      </c>
      <c r="L8" s="14">
        <f t="shared" si="0"/>
        <v>1.1576317173711916</v>
      </c>
      <c r="M8" s="14">
        <f t="shared" si="1"/>
        <v>2.1108000000000002</v>
      </c>
      <c r="N8" s="14">
        <f t="shared" si="2"/>
        <v>4.9564857845307193</v>
      </c>
      <c r="O8" s="14">
        <f t="array" ref="O8">AVERAGE(IF((Data!$F$2:$F$251=$A8)*(Data!$H$2:$H$251=$B8)*(Data!$K$2:$K$251=$C8)*(Data!$L$2:$L$251=$D8)*(Data!$M$2:$M$251=$E8),Data!$O$2:$O$251," " ))</f>
        <v>154.26300000000001</v>
      </c>
      <c r="P8" s="14">
        <f t="array" ref="P8">STDEV(IF((Data!$F$2:$F$251=$A8)*(Data!$H$2:$H$251=$B8)*(Data!$K$2:$K$251=$C8)*(Data!$L$2:$L$251=$D8)*(Data!$M$2:$M$251=$E8),Data!$O$2:$O$251," " ))</f>
        <v>4.4536956938404986</v>
      </c>
      <c r="Q8" s="14">
        <f t="shared" si="3"/>
        <v>2.6673183510410747</v>
      </c>
      <c r="R8" s="14">
        <f t="shared" si="4"/>
        <v>7.7131500000000006</v>
      </c>
      <c r="S8" s="14">
        <f t="shared" si="5"/>
        <v>16.365007804251178</v>
      </c>
      <c r="T8" s="1"/>
      <c r="U8" s="1"/>
      <c r="V8" s="1"/>
      <c r="W8" s="1"/>
      <c r="X8" s="1"/>
      <c r="Y8" s="1"/>
    </row>
    <row r="9" spans="1:25" x14ac:dyDescent="0.25">
      <c r="A9" s="1" t="s">
        <v>48</v>
      </c>
      <c r="B9" s="1" t="s">
        <v>18</v>
      </c>
      <c r="C9" s="8">
        <v>80</v>
      </c>
      <c r="D9" s="1">
        <v>195</v>
      </c>
      <c r="E9" s="1">
        <v>800</v>
      </c>
      <c r="F9" s="1">
        <f t="array" ref="F9">COUNT(IF((Data!$F$2:$F$251=$A9)*(Data!$H$2:$H$251=$B9)*(Data!$K$2:$K$251=$C9)*(Data!$L$2:$L$251=$D9)*(Data!$M$2:$M$251=$E9),Data!$N$2:$N$251," " ))</f>
        <v>2</v>
      </c>
      <c r="G9" s="16">
        <v>1.819</v>
      </c>
      <c r="H9" s="14">
        <v>0.5</v>
      </c>
      <c r="I9" s="14">
        <f>2*Data!D9</f>
        <v>0.31</v>
      </c>
      <c r="J9" s="14">
        <f t="array" ref="J9">AVERAGE(IF((Data!$F$2:$F$251=$A9)*(Data!$H$2:$H$251=$B9)*(Data!$K$2:$K$251=$C9)*(Data!$L$2:$L$251=$D9)*(Data!$M$2:$M$251=$E9),Data!$N$2:$N$251," " ))</f>
        <v>142.31349999999998</v>
      </c>
      <c r="K9" s="14">
        <f t="array" ref="K9">STDEV(IF((Data!$F$2:$F$251=$A9)*(Data!$H$2:$H$251=$B9)*(Data!$K$2:$K$251=$C9)*(Data!$L$2:$L$251=$D9)*(Data!$M$2:$M$251=$E9),Data!$N$2:$N$251," " ))</f>
        <v>4.5969011844937491</v>
      </c>
      <c r="L9" s="14">
        <f t="shared" si="0"/>
        <v>5.9126595000000037</v>
      </c>
      <c r="M9" s="14">
        <f t="shared" si="1"/>
        <v>2.8462699999999996</v>
      </c>
      <c r="N9" s="14">
        <f t="shared" si="2"/>
        <v>13.176781894808808</v>
      </c>
      <c r="O9" s="14">
        <f t="array" ref="O9">AVERAGE(IF((Data!$F$2:$F$251=$A9)*(Data!$H$2:$H$251=$B9)*(Data!$K$2:$K$251=$C9)*(Data!$L$2:$L$251=$D9)*(Data!$M$2:$M$251=$E9),Data!$O$2:$O$251," " ))</f>
        <v>93.558499999999995</v>
      </c>
      <c r="P9" s="14">
        <f t="array" ref="P9">STDEV(IF((Data!$F$2:$F$251=$A9)*(Data!$H$2:$H$251=$B9)*(Data!$K$2:$K$251=$C9)*(Data!$L$2:$L$251=$D9)*(Data!$M$2:$M$251=$E9),Data!$O$2:$O$251," " ))</f>
        <v>2.1630396436496468</v>
      </c>
      <c r="Q9" s="14">
        <f t="shared" si="3"/>
        <v>2.7821604999999971</v>
      </c>
      <c r="R9" s="14">
        <f t="shared" si="4"/>
        <v>4.6779250000000001</v>
      </c>
      <c r="S9" s="14">
        <f t="shared" si="5"/>
        <v>10.948881103269912</v>
      </c>
      <c r="T9" s="1"/>
      <c r="U9" s="1"/>
      <c r="V9" s="1"/>
      <c r="W9" s="1"/>
      <c r="X9" s="1"/>
      <c r="Y9" s="1"/>
    </row>
    <row r="10" spans="1:25" x14ac:dyDescent="0.25">
      <c r="A10" s="1" t="s">
        <v>48</v>
      </c>
      <c r="B10" s="1" t="s">
        <v>18</v>
      </c>
      <c r="C10" s="8">
        <v>122</v>
      </c>
      <c r="D10" s="1">
        <v>195</v>
      </c>
      <c r="E10" s="1">
        <v>800</v>
      </c>
      <c r="F10" s="1">
        <f t="array" ref="F10">COUNT(IF((Data!$F$2:$F$251=$A10)*(Data!$H$2:$H$251=$B10)*(Data!$K$2:$K$251=$C10)*(Data!$L$2:$L$251=$D10)*(Data!$M$2:$M$251=$E10),Data!$N$2:$N$251," " ))</f>
        <v>2</v>
      </c>
      <c r="G10" s="16">
        <v>1.819</v>
      </c>
      <c r="H10" s="14">
        <v>0.5</v>
      </c>
      <c r="I10" s="14">
        <f>2*Data!D10</f>
        <v>0.31</v>
      </c>
      <c r="J10" s="14">
        <f t="array" ref="J10">AVERAGE(IF((Data!$F$2:$F$251=$A10)*(Data!$H$2:$H$251=$B10)*(Data!$K$2:$K$251=$C10)*(Data!$L$2:$L$251=$D10)*(Data!$M$2:$M$251=$E10),Data!$N$2:$N$251," " ))</f>
        <v>124.14750000000001</v>
      </c>
      <c r="K10" s="14">
        <f t="array" ref="K10">STDEV(IF((Data!$F$2:$F$251=$A10)*(Data!$H$2:$H$251=$B10)*(Data!$K$2:$K$251=$C10)*(Data!$L$2:$L$251=$D10)*(Data!$M$2:$M$251=$E10),Data!$N$2:$N$251," " ))</f>
        <v>1.9862629483530203</v>
      </c>
      <c r="L10" s="14">
        <f t="shared" si="0"/>
        <v>2.5547855000000106</v>
      </c>
      <c r="M10" s="14">
        <f t="shared" si="1"/>
        <v>2.4829500000000002</v>
      </c>
      <c r="N10" s="14">
        <f t="shared" si="2"/>
        <v>7.2216534543026381</v>
      </c>
      <c r="O10" s="14">
        <f t="array" ref="O10">AVERAGE(IF((Data!$F$2:$F$251=$A10)*(Data!$H$2:$H$251=$B10)*(Data!$K$2:$K$251=$C10)*(Data!$L$2:$L$251=$D10)*(Data!$M$2:$M$251=$E10),Data!$O$2:$O$251," " ))</f>
        <v>50.539500000000004</v>
      </c>
      <c r="P10" s="14">
        <f t="array" ref="P10">STDEV(IF((Data!$F$2:$F$251=$A10)*(Data!$H$2:$H$251=$B10)*(Data!$K$2:$K$251=$C10)*(Data!$L$2:$L$251=$D10)*(Data!$M$2:$M$251=$E10),Data!$O$2:$O$251," " ))</f>
        <v>8.9802561210693271E-2</v>
      </c>
      <c r="Q10" s="14">
        <f t="shared" si="3"/>
        <v>0.11550650000000223</v>
      </c>
      <c r="R10" s="14">
        <f t="shared" si="4"/>
        <v>2.5269750000000002</v>
      </c>
      <c r="S10" s="14">
        <f t="shared" si="5"/>
        <v>5.1942446619955245</v>
      </c>
      <c r="T10" s="1"/>
      <c r="U10" s="1"/>
      <c r="V10" s="1"/>
      <c r="W10" s="1"/>
      <c r="X10" s="1"/>
      <c r="Y10" s="1"/>
    </row>
    <row r="11" spans="1:25" x14ac:dyDescent="0.25">
      <c r="A11" s="1" t="s">
        <v>48</v>
      </c>
      <c r="B11" s="1" t="s">
        <v>18</v>
      </c>
      <c r="C11" s="8">
        <v>144</v>
      </c>
      <c r="D11" s="1">
        <v>195</v>
      </c>
      <c r="E11" s="1">
        <v>800</v>
      </c>
      <c r="F11" s="1">
        <f t="array" ref="F11">COUNT(IF((Data!$F$2:$F$251=$A11)*(Data!$H$2:$H$251=$B11)*(Data!$K$2:$K$251=$C11)*(Data!$L$2:$L$251=$D11)*(Data!$M$2:$M$251=$E11),Data!$N$2:$N$251," " ))</f>
        <v>2</v>
      </c>
      <c r="G11" s="16">
        <v>1.819</v>
      </c>
      <c r="H11" s="14">
        <v>0.5</v>
      </c>
      <c r="I11" s="14">
        <f>2*Data!D11</f>
        <v>0.31</v>
      </c>
      <c r="J11" s="14">
        <f t="array" ref="J11">AVERAGE(IF((Data!$F$2:$F$251=$A11)*(Data!$H$2:$H$251=$B11)*(Data!$K$2:$K$251=$C11)*(Data!$L$2:$L$251=$D11)*(Data!$M$2:$M$251=$E11),Data!$N$2:$N$251," " ))</f>
        <v>121.15450000000001</v>
      </c>
      <c r="K11" s="14">
        <f t="array" ref="K11">STDEV(IF((Data!$F$2:$F$251=$A11)*(Data!$H$2:$H$251=$B11)*(Data!$K$2:$K$251=$C11)*(Data!$L$2:$L$251=$D11)*(Data!$M$2:$M$251=$E11),Data!$N$2:$N$251," " ))</f>
        <v>3.1544033508731877</v>
      </c>
      <c r="L11" s="14">
        <f t="shared" si="0"/>
        <v>4.057279499999999</v>
      </c>
      <c r="M11" s="14">
        <f t="shared" si="1"/>
        <v>2.4230900000000002</v>
      </c>
      <c r="N11" s="14">
        <f t="shared" si="2"/>
        <v>9.5244909762611965</v>
      </c>
      <c r="O11" s="14">
        <f t="array" ref="O11">AVERAGE(IF((Data!$F$2:$F$251=$A11)*(Data!$H$2:$H$251=$B11)*(Data!$K$2:$K$251=$C11)*(Data!$L$2:$L$251=$D11)*(Data!$M$2:$M$251=$E11),Data!$O$2:$O$251," " ))</f>
        <v>41.426000000000002</v>
      </c>
      <c r="P11" s="14">
        <f t="array" ref="P11">STDEV(IF((Data!$F$2:$F$251=$A11)*(Data!$H$2:$H$251=$B11)*(Data!$K$2:$K$251=$C11)*(Data!$L$2:$L$251=$D11)*(Data!$M$2:$M$251=$E11),Data!$O$2:$O$251," " ))</f>
        <v>0.72124891681028058</v>
      </c>
      <c r="Q11" s="14">
        <f t="shared" si="3"/>
        <v>0.92769000000000257</v>
      </c>
      <c r="R11" s="14">
        <f t="shared" si="4"/>
        <v>2.0713000000000004</v>
      </c>
      <c r="S11" s="14">
        <f t="shared" si="5"/>
        <v>4.689133150636696</v>
      </c>
      <c r="T11" s="1"/>
      <c r="U11" s="1"/>
      <c r="V11" s="1"/>
      <c r="W11" s="1"/>
      <c r="X11" s="1"/>
      <c r="Y11" s="1"/>
    </row>
    <row r="12" spans="1:25" x14ac:dyDescent="0.25">
      <c r="A12" s="1" t="s">
        <v>48</v>
      </c>
      <c r="B12" s="1" t="s">
        <v>18</v>
      </c>
      <c r="C12" s="8">
        <v>167</v>
      </c>
      <c r="D12" s="1">
        <v>195</v>
      </c>
      <c r="E12" s="1">
        <v>800</v>
      </c>
      <c r="F12" s="1">
        <f t="array" ref="F12">COUNT(IF((Data!$F$2:$F$251=$A12)*(Data!$H$2:$H$251=$B12)*(Data!$K$2:$K$251=$C12)*(Data!$L$2:$L$251=$D12)*(Data!$M$2:$M$251=$E12),Data!$N$2:$N$251," " ))</f>
        <v>4</v>
      </c>
      <c r="G12" s="16">
        <v>1.1978</v>
      </c>
      <c r="H12" s="14">
        <v>0.5</v>
      </c>
      <c r="I12" s="14">
        <f>2*Data!D12</f>
        <v>0.31</v>
      </c>
      <c r="J12" s="14">
        <f t="array" ref="J12">AVERAGE(IF((Data!$F$2:$F$251=$A12)*(Data!$H$2:$H$251=$B12)*(Data!$K$2:$K$251=$C12)*(Data!$L$2:$L$251=$D12)*(Data!$M$2:$M$251=$E12),Data!$N$2:$N$251," " ))</f>
        <v>135.78800000000001</v>
      </c>
      <c r="K12" s="14">
        <f t="array" ref="K12">STDEV(IF((Data!$F$2:$F$251=$A12)*(Data!$H$2:$H$251=$B12)*(Data!$K$2:$K$251=$C12)*(Data!$L$2:$L$251=$D12)*(Data!$M$2:$M$251=$E12),Data!$N$2:$N$251," " ))</f>
        <v>2.6946778409796348</v>
      </c>
      <c r="L12" s="14">
        <f t="shared" si="0"/>
        <v>1.6138425589627032</v>
      </c>
      <c r="M12" s="14">
        <f t="shared" si="1"/>
        <v>2.7157600000000004</v>
      </c>
      <c r="N12" s="14">
        <f t="shared" si="2"/>
        <v>6.4268001937882859</v>
      </c>
      <c r="O12" s="14">
        <f t="array" ref="O12">AVERAGE(IF((Data!$F$2:$F$251=$A12)*(Data!$H$2:$H$251=$B12)*(Data!$K$2:$K$251=$C12)*(Data!$L$2:$L$251=$D12)*(Data!$M$2:$M$251=$E12),Data!$O$2:$O$251," " ))</f>
        <v>37.291250000000005</v>
      </c>
      <c r="P12" s="14">
        <f t="array" ref="P12">STDEV(IF((Data!$F$2:$F$251=$A12)*(Data!$H$2:$H$251=$B12)*(Data!$K$2:$K$251=$C12)*(Data!$L$2:$L$251=$D12)*(Data!$M$2:$M$251=$E12),Data!$O$2:$O$251," " ))</f>
        <v>1.2241316309939869</v>
      </c>
      <c r="Q12" s="14">
        <f t="shared" si="3"/>
        <v>0.73313243380229876</v>
      </c>
      <c r="R12" s="14">
        <f t="shared" si="4"/>
        <v>1.8645625000000003</v>
      </c>
      <c r="S12" s="14">
        <f t="shared" si="5"/>
        <v>4.1762071222098802</v>
      </c>
      <c r="T12" s="1"/>
      <c r="U12" s="1"/>
      <c r="V12" s="1"/>
      <c r="W12" s="1"/>
      <c r="X12" s="1"/>
      <c r="Y12" s="1"/>
    </row>
    <row r="13" spans="1:25" x14ac:dyDescent="0.25">
      <c r="A13" s="1" t="s">
        <v>48</v>
      </c>
      <c r="B13" s="1" t="s">
        <v>18</v>
      </c>
      <c r="C13" s="8">
        <v>211</v>
      </c>
      <c r="D13" s="1">
        <v>195</v>
      </c>
      <c r="E13" s="1">
        <v>800</v>
      </c>
      <c r="F13" s="1">
        <f t="array" ref="F13">COUNT(IF((Data!$F$2:$F$251=$A13)*(Data!$H$2:$H$251=$B13)*(Data!$K$2:$K$251=$C13)*(Data!$L$2:$L$251=$D13)*(Data!$M$2:$M$251=$E13),Data!$N$2:$N$251," " ))</f>
        <v>2</v>
      </c>
      <c r="G13" s="16">
        <v>1.819</v>
      </c>
      <c r="H13" s="14">
        <v>0.5</v>
      </c>
      <c r="I13" s="14">
        <f>2*Data!D13</f>
        <v>0.31</v>
      </c>
      <c r="J13" s="14">
        <f t="array" ref="J13">AVERAGE(IF((Data!$F$2:$F$251=$A13)*(Data!$H$2:$H$251=$B13)*(Data!$K$2:$K$251=$C13)*(Data!$L$2:$L$251=$D13)*(Data!$M$2:$M$251=$E13),Data!$N$2:$N$251," " ))</f>
        <v>154.42250000000001</v>
      </c>
      <c r="K13" s="14">
        <f t="array" ref="K13">STDEV(IF((Data!$F$2:$F$251=$A13)*(Data!$H$2:$H$251=$B13)*(Data!$K$2:$K$251=$C13)*(Data!$L$2:$L$251=$D13)*(Data!$M$2:$M$251=$E13),Data!$N$2:$N$251," " ))</f>
        <v>2.7937788924680445</v>
      </c>
      <c r="L13" s="14">
        <f t="shared" si="0"/>
        <v>3.5934344999999932</v>
      </c>
      <c r="M13" s="14">
        <f t="shared" si="1"/>
        <v>3.0884500000000004</v>
      </c>
      <c r="N13" s="14">
        <f t="shared" si="2"/>
        <v>9.5493235170435415</v>
      </c>
      <c r="O13" s="14">
        <f t="array" ref="O13">AVERAGE(IF((Data!$F$2:$F$251=$A13)*(Data!$H$2:$H$251=$B13)*(Data!$K$2:$K$251=$C13)*(Data!$L$2:$L$251=$D13)*(Data!$M$2:$M$251=$E13),Data!$O$2:$O$251," " ))</f>
        <v>31.802500000000002</v>
      </c>
      <c r="P13" s="14">
        <f t="array" ref="P13">STDEV(IF((Data!$F$2:$F$251=$A13)*(Data!$H$2:$H$251=$B13)*(Data!$K$2:$K$251=$C13)*(Data!$L$2:$L$251=$D13)*(Data!$M$2:$M$251=$E13),Data!$O$2:$O$251," " ))</f>
        <v>1.5323003948312497</v>
      </c>
      <c r="Q13" s="14">
        <f t="shared" si="3"/>
        <v>1.9708865000000013</v>
      </c>
      <c r="R13" s="14">
        <f t="shared" si="4"/>
        <v>1.5901250000000002</v>
      </c>
      <c r="S13" s="14">
        <f t="shared" si="5"/>
        <v>5.1996119514853243</v>
      </c>
      <c r="T13" s="1"/>
      <c r="U13" s="1"/>
      <c r="V13" s="1"/>
      <c r="W13" s="1"/>
      <c r="X13" s="1"/>
      <c r="Y13" s="1"/>
    </row>
    <row r="14" spans="1:25" x14ac:dyDescent="0.25">
      <c r="A14" s="1" t="s">
        <v>48</v>
      </c>
      <c r="B14" s="1" t="s">
        <v>18</v>
      </c>
      <c r="C14" s="8">
        <v>256</v>
      </c>
      <c r="D14" s="1">
        <v>195</v>
      </c>
      <c r="E14" s="1">
        <v>800</v>
      </c>
      <c r="F14" s="1">
        <f t="array" ref="F14">COUNT(IF((Data!$F$2:$F$251=$A14)*(Data!$H$2:$H$251=$B14)*(Data!$K$2:$K$251=$C14)*(Data!$L$2:$L$251=$D14)*(Data!$M$2:$M$251=$E14),Data!$N$2:$N$251," " ))</f>
        <v>2</v>
      </c>
      <c r="G14" s="16">
        <v>1.819</v>
      </c>
      <c r="H14" s="14">
        <v>0.5</v>
      </c>
      <c r="I14" s="14">
        <f>2*Data!D14</f>
        <v>0.31</v>
      </c>
      <c r="J14" s="14">
        <f t="array" ref="J14">AVERAGE(IF((Data!$F$2:$F$251=$A14)*(Data!$H$2:$H$251=$B14)*(Data!$K$2:$K$251=$C14)*(Data!$L$2:$L$251=$D14)*(Data!$M$2:$M$251=$E14),Data!$N$2:$N$251," " ))</f>
        <v>167.83749999999998</v>
      </c>
      <c r="K14" s="14">
        <f t="array" ref="K14">STDEV(IF((Data!$F$2:$F$251=$A14)*(Data!$H$2:$H$251=$B14)*(Data!$K$2:$K$251=$C14)*(Data!$L$2:$L$251=$D14)*(Data!$M$2:$M$251=$E14),Data!$N$2:$N$251," " ))</f>
        <v>3.8318116472499089</v>
      </c>
      <c r="L14" s="14">
        <f t="shared" si="0"/>
        <v>4.9285805000000096</v>
      </c>
      <c r="M14" s="14">
        <f t="shared" si="1"/>
        <v>3.3567499999999995</v>
      </c>
      <c r="N14" s="14">
        <f t="shared" si="2"/>
        <v>11.984118875825679</v>
      </c>
      <c r="O14" s="14">
        <f t="array" ref="O14">AVERAGE(IF((Data!$F$2:$F$251=$A14)*(Data!$H$2:$H$251=$B14)*(Data!$K$2:$K$251=$C14)*(Data!$L$2:$L$251=$D14)*(Data!$M$2:$M$251=$E14),Data!$O$2:$O$251," " ))</f>
        <v>28.193000000000001</v>
      </c>
      <c r="P14" s="14">
        <f t="array" ref="P14">STDEV(IF((Data!$F$2:$F$251=$A14)*(Data!$H$2:$H$251=$B14)*(Data!$K$2:$K$251=$C14)*(Data!$L$2:$L$251=$D14)*(Data!$M$2:$M$251=$E14),Data!$O$2:$O$251," " ))</f>
        <v>2.1298056249338817</v>
      </c>
      <c r="Q14" s="14">
        <f t="shared" si="3"/>
        <v>2.7394140000000005</v>
      </c>
      <c r="R14" s="14">
        <f t="shared" si="4"/>
        <v>1.4096500000000001</v>
      </c>
      <c r="S14" s="14">
        <f t="shared" si="5"/>
        <v>6.2729904147530791</v>
      </c>
      <c r="T14" s="1"/>
      <c r="U14" s="1"/>
      <c r="V14" s="1"/>
      <c r="W14" s="1"/>
      <c r="X14" s="1"/>
      <c r="Y14" s="1"/>
    </row>
    <row r="15" spans="1:25" x14ac:dyDescent="0.25">
      <c r="A15" s="1" t="s">
        <v>48</v>
      </c>
      <c r="B15" s="1" t="s">
        <v>285</v>
      </c>
      <c r="C15" s="9">
        <v>80</v>
      </c>
      <c r="D15" s="6">
        <v>179.2</v>
      </c>
      <c r="E15" s="6">
        <v>800</v>
      </c>
      <c r="F15" s="1">
        <f t="array" ref="F15">COUNT(IF((Data!$F$2:$F$251=$A15)*(Data!$H$2:$H$251=$B15)*(Data!$K$2:$K$251=$C15)*(Data!$L$2:$L$251=$D15)*(Data!$M$2:$M$251=$E15),Data!$N$2:$N$251," " ))</f>
        <v>2</v>
      </c>
      <c r="G15" s="16">
        <v>1.819</v>
      </c>
      <c r="H15" s="14">
        <v>0.5</v>
      </c>
      <c r="I15" s="14">
        <f>2*Data!D15</f>
        <v>0.31</v>
      </c>
      <c r="J15" s="14">
        <f t="array" ref="J15">AVERAGE(IF((Data!$F$2:$F$251=$A15)*(Data!$H$2:$H$251=$B15)*(Data!$K$2:$K$251=$C15)*(Data!$L$2:$L$251=$D15)*(Data!$M$2:$M$251=$E15),Data!$N$2:$N$251," " ))</f>
        <v>125.1695</v>
      </c>
      <c r="K15" s="14">
        <f t="array" ref="K15">STDEV(IF((Data!$F$2:$F$251=$A15)*(Data!$H$2:$H$251=$B15)*(Data!$K$2:$K$251=$C15)*(Data!$L$2:$L$251=$D15)*(Data!$M$2:$M$251=$E15),Data!$N$2:$N$251," " ))</f>
        <v>1.8024151852445143</v>
      </c>
      <c r="L15" s="14">
        <f t="shared" si="0"/>
        <v>2.3183155000000055</v>
      </c>
      <c r="M15" s="14">
        <f t="shared" si="1"/>
        <v>2.50339</v>
      </c>
      <c r="N15" s="14">
        <f t="shared" si="2"/>
        <v>6.9246366690651078</v>
      </c>
      <c r="O15" s="14">
        <f t="array" ref="O15">AVERAGE(IF((Data!$F$2:$F$251=$A15)*(Data!$H$2:$H$251=$B15)*(Data!$K$2:$K$251=$C15)*(Data!$L$2:$L$251=$D15)*(Data!$M$2:$M$251=$E15),Data!$O$2:$O$251," " ))</f>
        <v>97.891999999999996</v>
      </c>
      <c r="P15" s="14">
        <f t="array" ref="P15">STDEV(IF((Data!$F$2:$F$251=$A15)*(Data!$H$2:$H$251=$B15)*(Data!$K$2:$K$251=$C15)*(Data!$L$2:$L$251=$D15)*(Data!$M$2:$M$251=$E15),Data!$O$2:$O$251," " ))</f>
        <v>1.9827274144470806</v>
      </c>
      <c r="Q15" s="14">
        <f t="shared" si="3"/>
        <v>2.5502380000000016</v>
      </c>
      <c r="R15" s="14">
        <f t="shared" si="4"/>
        <v>4.8946000000000005</v>
      </c>
      <c r="S15" s="14">
        <f t="shared" si="5"/>
        <v>11.100796911329207</v>
      </c>
      <c r="T15" s="1"/>
      <c r="U15" s="1"/>
      <c r="V15" s="1"/>
      <c r="W15" s="1"/>
      <c r="X15" s="1"/>
      <c r="Y15" s="1"/>
    </row>
    <row r="16" spans="1:25" x14ac:dyDescent="0.25">
      <c r="A16" s="1" t="s">
        <v>48</v>
      </c>
      <c r="B16" s="1" t="s">
        <v>285</v>
      </c>
      <c r="C16" s="8">
        <v>80</v>
      </c>
      <c r="D16" s="1">
        <v>195</v>
      </c>
      <c r="E16" s="1">
        <v>800</v>
      </c>
      <c r="F16" s="1">
        <f t="array" ref="F16">COUNT(IF((Data!$F$2:$F$251=$A16)*(Data!$H$2:$H$251=$B16)*(Data!$K$2:$K$251=$C16)*(Data!$L$2:$L$251=$D16)*(Data!$M$2:$M$251=$E16),Data!$N$2:$N$251," " ))</f>
        <v>8</v>
      </c>
      <c r="G16" s="16">
        <v>1.0703</v>
      </c>
      <c r="H16" s="14">
        <v>0.5</v>
      </c>
      <c r="I16" s="14">
        <f>2*Data!D16</f>
        <v>0.31</v>
      </c>
      <c r="J16" s="14">
        <f t="array" ref="J16">AVERAGE(IF((Data!$F$2:$F$251=$A16)*(Data!$H$2:$H$251=$B16)*(Data!$K$2:$K$251=$C16)*(Data!$L$2:$L$251=$D16)*(Data!$M$2:$M$251=$E16),Data!$N$2:$N$251," " ))</f>
        <v>132.944625</v>
      </c>
      <c r="K16" s="14">
        <f t="array" ref="K16">STDEV(IF((Data!$F$2:$F$251=$A16)*(Data!$H$2:$H$251=$B16)*(Data!$K$2:$K$251=$C16)*(Data!$L$2:$L$251=$D16)*(Data!$M$2:$M$251=$E16),Data!$N$2:$N$251," " ))</f>
        <v>2.659656687700235</v>
      </c>
      <c r="L16" s="14">
        <f t="shared" si="0"/>
        <v>1.0064358837249536</v>
      </c>
      <c r="M16" s="14">
        <f t="shared" si="1"/>
        <v>2.6588924999999999</v>
      </c>
      <c r="N16" s="14">
        <f t="shared" si="2"/>
        <v>5.8064524503712169</v>
      </c>
      <c r="O16" s="14">
        <f t="array" ref="O16">AVERAGE(IF((Data!$F$2:$F$251=$A16)*(Data!$H$2:$H$251=$B16)*(Data!$K$2:$K$251=$C16)*(Data!$L$2:$L$251=$D16)*(Data!$M$2:$M$251=$E16),Data!$O$2:$O$251," " ))</f>
        <v>111.10074999999999</v>
      </c>
      <c r="P16" s="14">
        <f t="array" ref="P16">STDEV(IF((Data!$F$2:$F$251=$A16)*(Data!$H$2:$H$251=$B16)*(Data!$K$2:$K$251=$C16)*(Data!$L$2:$L$251=$D16)*(Data!$M$2:$M$251=$E16),Data!$O$2:$O$251," " ))</f>
        <v>3.1845472317785735</v>
      </c>
      <c r="Q16" s="14">
        <f t="shared" si="3"/>
        <v>1.2050587665321102</v>
      </c>
      <c r="R16" s="14">
        <f t="shared" si="4"/>
        <v>5.5550375000000001</v>
      </c>
      <c r="S16" s="14">
        <f t="shared" si="5"/>
        <v>11.429209641476026</v>
      </c>
      <c r="T16" s="1"/>
      <c r="U16" s="1"/>
      <c r="V16" s="1"/>
      <c r="W16" s="1"/>
      <c r="X16" s="1"/>
      <c r="Y16" s="1"/>
    </row>
    <row r="17" spans="1:25" x14ac:dyDescent="0.25">
      <c r="A17" s="1" t="s">
        <v>48</v>
      </c>
      <c r="B17" s="1" t="s">
        <v>285</v>
      </c>
      <c r="C17" s="9">
        <v>81.082119639929104</v>
      </c>
      <c r="D17" s="6">
        <v>195</v>
      </c>
      <c r="E17" s="6">
        <v>800</v>
      </c>
      <c r="F17" s="1">
        <f t="array" ref="F17">COUNT(IF((Data!$F$2:$F$251=$A17)*(Data!$H$2:$H$251=$B17)*(Data!$K$2:$K$251=$C17)*(Data!$L$2:$L$251=$D17)*(Data!$M$2:$M$251=$E17),Data!$N$2:$N$251," " ))</f>
        <v>2</v>
      </c>
      <c r="G17" s="16">
        <v>1.819</v>
      </c>
      <c r="H17" s="14">
        <v>0.5</v>
      </c>
      <c r="I17" s="14">
        <f>2*Data!D17</f>
        <v>0.31</v>
      </c>
      <c r="J17" s="14">
        <f t="array" ref="J17">AVERAGE(IF((Data!$F$2:$F$251=$A17)*(Data!$H$2:$H$251=$B17)*(Data!$K$2:$K$251=$C17)*(Data!$L$2:$L$251=$D17)*(Data!$M$2:$M$251=$E17),Data!$N$2:$N$251," " ))</f>
        <v>137.02350000000001</v>
      </c>
      <c r="K17" s="14">
        <f t="array" ref="K17">STDEV(IF((Data!$F$2:$F$251=$A17)*(Data!$H$2:$H$251=$B17)*(Data!$K$2:$K$251=$C17)*(Data!$L$2:$L$251=$D17)*(Data!$M$2:$M$251=$E17),Data!$N$2:$N$251," " ))</f>
        <v>0.54093668760771929</v>
      </c>
      <c r="L17" s="14">
        <f t="shared" si="0"/>
        <v>0.69576750000001342</v>
      </c>
      <c r="M17" s="14">
        <f t="shared" si="1"/>
        <v>2.7404700000000002</v>
      </c>
      <c r="N17" s="14">
        <f t="shared" si="2"/>
        <v>5.7759391392071535</v>
      </c>
      <c r="O17" s="14">
        <f t="array" ref="O17">AVERAGE(IF((Data!$F$2:$F$251=$A17)*(Data!$H$2:$H$251=$B17)*(Data!$K$2:$K$251=$C17)*(Data!$L$2:$L$251=$D17)*(Data!$M$2:$M$251=$E17),Data!$O$2:$O$251," " ))</f>
        <v>108.15299999999999</v>
      </c>
      <c r="P17" s="14">
        <f t="array" ref="P17">STDEV(IF((Data!$F$2:$F$251=$A17)*(Data!$H$2:$H$251=$B17)*(Data!$K$2:$K$251=$C17)*(Data!$L$2:$L$251=$D17)*(Data!$M$2:$M$251=$E17),Data!$O$2:$O$251," " ))</f>
        <v>2.073237082438959</v>
      </c>
      <c r="Q17" s="14">
        <f t="shared" si="3"/>
        <v>2.6666540000000016</v>
      </c>
      <c r="R17" s="14">
        <f t="shared" si="4"/>
        <v>5.4076500000000003</v>
      </c>
      <c r="S17" s="14">
        <f t="shared" si="5"/>
        <v>12.116075615184318</v>
      </c>
      <c r="T17" s="1"/>
      <c r="U17" s="1"/>
      <c r="V17" s="1"/>
      <c r="W17" s="1"/>
      <c r="X17" s="1"/>
      <c r="Y17" s="1"/>
    </row>
    <row r="18" spans="1:25" x14ac:dyDescent="0.25">
      <c r="A18" s="1" t="s">
        <v>48</v>
      </c>
      <c r="B18" s="1" t="s">
        <v>285</v>
      </c>
      <c r="C18" s="9">
        <v>82.381757205602284</v>
      </c>
      <c r="D18" s="6">
        <v>195</v>
      </c>
      <c r="E18" s="6">
        <v>800</v>
      </c>
      <c r="F18" s="1">
        <f t="array" ref="F18">COUNT(IF((Data!$F$2:$F$251=$A18)*(Data!$H$2:$H$251=$B18)*(Data!$K$2:$K$251=$C18)*(Data!$L$2:$L$251=$D18)*(Data!$M$2:$M$251=$E18),Data!$N$2:$N$251," " ))</f>
        <v>2</v>
      </c>
      <c r="G18" s="16">
        <v>1.819</v>
      </c>
      <c r="H18" s="14">
        <v>0.5</v>
      </c>
      <c r="I18" s="14">
        <f>2*Data!D18</f>
        <v>0.31</v>
      </c>
      <c r="J18" s="14">
        <f t="array" ref="J18">AVERAGE(IF((Data!$F$2:$F$251=$A18)*(Data!$H$2:$H$251=$B18)*(Data!$K$2:$K$251=$C18)*(Data!$L$2:$L$251=$D18)*(Data!$M$2:$M$251=$E18),Data!$N$2:$N$251," " ))</f>
        <v>135.62150000000003</v>
      </c>
      <c r="K18" s="14">
        <f t="array" ref="K18">STDEV(IF((Data!$F$2:$F$251=$A18)*(Data!$H$2:$H$251=$B18)*(Data!$K$2:$K$251=$C18)*(Data!$L$2:$L$251=$D18)*(Data!$M$2:$M$251=$E18),Data!$N$2:$N$251," " ))</f>
        <v>3.0638936828813095</v>
      </c>
      <c r="L18" s="14">
        <f t="shared" si="0"/>
        <v>3.9408634999999981</v>
      </c>
      <c r="M18" s="14">
        <f t="shared" si="1"/>
        <v>2.7124300000000008</v>
      </c>
      <c r="N18" s="14">
        <f t="shared" si="2"/>
        <v>9.6402866410770667</v>
      </c>
      <c r="O18" s="14">
        <f t="array" ref="O18">AVERAGE(IF((Data!$F$2:$F$251=$A18)*(Data!$H$2:$H$251=$B18)*(Data!$K$2:$K$251=$C18)*(Data!$L$2:$L$251=$D18)*(Data!$M$2:$M$251=$E18),Data!$O$2:$O$251," " ))</f>
        <v>111.91300000000001</v>
      </c>
      <c r="P18" s="14">
        <f t="array" ref="P18">STDEV(IF((Data!$F$2:$F$251=$A18)*(Data!$H$2:$H$251=$B18)*(Data!$K$2:$K$251=$C18)*(Data!$L$2:$L$251=$D18)*(Data!$M$2:$M$251=$E18),Data!$O$2:$O$251," " ))</f>
        <v>2.7039763312573566</v>
      </c>
      <c r="Q18" s="14">
        <f t="shared" si="3"/>
        <v>3.4779279999999981</v>
      </c>
      <c r="R18" s="14">
        <f t="shared" si="4"/>
        <v>5.5956500000000009</v>
      </c>
      <c r="S18" s="14">
        <f t="shared" si="5"/>
        <v>13.229267870246485</v>
      </c>
      <c r="T18" s="1"/>
      <c r="U18" s="1"/>
      <c r="V18" s="1"/>
      <c r="W18" s="1"/>
      <c r="X18" s="1"/>
      <c r="Y18" s="1"/>
    </row>
    <row r="19" spans="1:25" x14ac:dyDescent="0.25">
      <c r="A19" s="1" t="s">
        <v>48</v>
      </c>
      <c r="B19" s="1" t="s">
        <v>285</v>
      </c>
      <c r="C19" s="9">
        <v>83.888803692370558</v>
      </c>
      <c r="D19" s="6">
        <v>195</v>
      </c>
      <c r="E19" s="6">
        <v>800</v>
      </c>
      <c r="F19" s="1">
        <f t="array" ref="F19">COUNT(IF((Data!$F$2:$F$251=$A19)*(Data!$H$2:$H$251=$B19)*(Data!$K$2:$K$251=$C19)*(Data!$L$2:$L$251=$D19)*(Data!$M$2:$M$251=$E19),Data!$N$2:$N$251," " ))</f>
        <v>2</v>
      </c>
      <c r="G19" s="16">
        <v>1.819</v>
      </c>
      <c r="H19" s="14">
        <v>0.5</v>
      </c>
      <c r="I19" s="14">
        <f>2*Data!D19</f>
        <v>0.31</v>
      </c>
      <c r="J19" s="14">
        <f t="array" ref="J19">AVERAGE(IF((Data!$F$2:$F$251=$A19)*(Data!$H$2:$H$251=$B19)*(Data!$K$2:$K$251=$C19)*(Data!$L$2:$L$251=$D19)*(Data!$M$2:$M$251=$E19),Data!$N$2:$N$251," " ))</f>
        <v>133.58199999999999</v>
      </c>
      <c r="K19" s="14">
        <f t="array" ref="K19">STDEV(IF((Data!$F$2:$F$251=$A19)*(Data!$H$2:$H$251=$B19)*(Data!$K$2:$K$251=$C19)*(Data!$L$2:$L$251=$D19)*(Data!$M$2:$M$251=$E19),Data!$N$2:$N$251," " ))</f>
        <v>2.3433518728522134</v>
      </c>
      <c r="L19" s="14">
        <f t="shared" si="0"/>
        <v>3.0140829999999932</v>
      </c>
      <c r="M19" s="14">
        <f t="shared" si="1"/>
        <v>2.67164</v>
      </c>
      <c r="N19" s="14">
        <f t="shared" si="2"/>
        <v>8.140873815626664</v>
      </c>
      <c r="O19" s="14">
        <f t="array" ref="O19">AVERAGE(IF((Data!$F$2:$F$251=$A19)*(Data!$H$2:$H$251=$B19)*(Data!$K$2:$K$251=$C19)*(Data!$L$2:$L$251=$D19)*(Data!$M$2:$M$251=$E19),Data!$O$2:$O$251," " ))</f>
        <v>105.54050000000001</v>
      </c>
      <c r="P19" s="14">
        <f t="array" ref="P19">STDEV(IF((Data!$F$2:$F$251=$A19)*(Data!$H$2:$H$251=$B19)*(Data!$K$2:$K$251=$C19)*(Data!$L$2:$L$251=$D19)*(Data!$M$2:$M$251=$E19),Data!$O$2:$O$251," " ))</f>
        <v>2.5236641020547901</v>
      </c>
      <c r="Q19" s="14">
        <f t="shared" si="3"/>
        <v>3.2460055000000021</v>
      </c>
      <c r="R19" s="14">
        <f t="shared" si="4"/>
        <v>5.277025000000001</v>
      </c>
      <c r="S19" s="14">
        <f t="shared" si="5"/>
        <v>12.446629191336147</v>
      </c>
      <c r="T19" s="1"/>
      <c r="U19" s="1"/>
      <c r="V19" s="1"/>
      <c r="W19" s="1"/>
      <c r="X19" s="1"/>
      <c r="Y19" s="1"/>
    </row>
    <row r="20" spans="1:25" x14ac:dyDescent="0.25">
      <c r="A20" s="1" t="s">
        <v>48</v>
      </c>
      <c r="B20" s="1" t="s">
        <v>285</v>
      </c>
      <c r="C20" s="9">
        <v>85.592304089016167</v>
      </c>
      <c r="D20" s="6">
        <v>195</v>
      </c>
      <c r="E20" s="6">
        <v>800</v>
      </c>
      <c r="F20" s="1">
        <f t="array" ref="F20">COUNT(IF((Data!$F$2:$F$251=$A20)*(Data!$H$2:$H$251=$B20)*(Data!$K$2:$K$251=$C20)*(Data!$L$2:$L$251=$D20)*(Data!$M$2:$M$251=$E20),Data!$N$2:$N$251," " ))</f>
        <v>2</v>
      </c>
      <c r="G20" s="16">
        <v>1.819</v>
      </c>
      <c r="H20" s="14">
        <v>0.5</v>
      </c>
      <c r="I20" s="14">
        <f>2*Data!D20</f>
        <v>1.86</v>
      </c>
      <c r="J20" s="14">
        <f t="array" ref="J20">AVERAGE(IF((Data!$F$2:$F$251=$A20)*(Data!$H$2:$H$251=$B20)*(Data!$K$2:$K$251=$C20)*(Data!$L$2:$L$251=$D20)*(Data!$M$2:$M$251=$E20),Data!$N$2:$N$251," " ))</f>
        <v>130.268</v>
      </c>
      <c r="K20" s="14">
        <f t="array" ref="K20">STDEV(IF((Data!$F$2:$F$251=$A20)*(Data!$H$2:$H$251=$B20)*(Data!$K$2:$K$251=$C20)*(Data!$L$2:$L$251=$D20)*(Data!$M$2:$M$251=$E20),Data!$N$2:$N$251," " ))</f>
        <v>1.4424978336205714</v>
      </c>
      <c r="L20" s="14">
        <f t="shared" si="0"/>
        <v>1.8553800000000185</v>
      </c>
      <c r="M20" s="14">
        <f t="shared" si="1"/>
        <v>2.6053600000000001</v>
      </c>
      <c r="N20" s="14">
        <f t="shared" si="2"/>
        <v>7.4672446522127744</v>
      </c>
      <c r="O20" s="14">
        <f t="array" ref="O20">AVERAGE(IF((Data!$F$2:$F$251=$A20)*(Data!$H$2:$H$251=$B20)*(Data!$K$2:$K$251=$C20)*(Data!$L$2:$L$251=$D20)*(Data!$M$2:$M$251=$E20),Data!$O$2:$O$251," " ))</f>
        <v>111.27600000000001</v>
      </c>
      <c r="P20" s="14">
        <f t="array" ref="P20">STDEV(IF((Data!$F$2:$F$251=$A20)*(Data!$H$2:$H$251=$B20)*(Data!$K$2:$K$251=$C20)*(Data!$L$2:$L$251=$D20)*(Data!$M$2:$M$251=$E20),Data!$O$2:$O$251," " ))</f>
        <v>1.8031222920256942</v>
      </c>
      <c r="Q20" s="14">
        <f t="shared" si="3"/>
        <v>2.3192249999999972</v>
      </c>
      <c r="R20" s="14">
        <f t="shared" si="4"/>
        <v>5.5638000000000005</v>
      </c>
      <c r="S20" s="14">
        <f t="shared" si="5"/>
        <v>12.656109203167457</v>
      </c>
      <c r="T20" s="1"/>
      <c r="U20" s="1"/>
      <c r="V20" s="1"/>
      <c r="W20" s="1"/>
      <c r="X20" s="1"/>
      <c r="Y20" s="1"/>
    </row>
    <row r="21" spans="1:25" x14ac:dyDescent="0.25">
      <c r="A21" s="1" t="s">
        <v>48</v>
      </c>
      <c r="B21" s="1" t="s">
        <v>285</v>
      </c>
      <c r="C21" s="9">
        <v>87.480782594072593</v>
      </c>
      <c r="D21" s="6">
        <v>195</v>
      </c>
      <c r="E21" s="6">
        <v>800</v>
      </c>
      <c r="F21" s="1">
        <f t="array" ref="F21">COUNT(IF((Data!$F$2:$F$251=$A21)*(Data!$H$2:$H$251=$B21)*(Data!$K$2:$K$251=$C21)*(Data!$L$2:$L$251=$D21)*(Data!$M$2:$M$251=$E21),Data!$N$2:$N$251," " ))</f>
        <v>2</v>
      </c>
      <c r="G21" s="16">
        <v>1.819</v>
      </c>
      <c r="H21" s="14">
        <v>0.5</v>
      </c>
      <c r="I21" s="14">
        <f>2*Data!D21</f>
        <v>1.86</v>
      </c>
      <c r="J21" s="14">
        <f t="array" ref="J21">AVERAGE(IF((Data!$F$2:$F$251=$A21)*(Data!$H$2:$H$251=$B21)*(Data!$K$2:$K$251=$C21)*(Data!$L$2:$L$251=$D21)*(Data!$M$2:$M$251=$E21),Data!$N$2:$N$251," " ))</f>
        <v>133.327</v>
      </c>
      <c r="K21" s="14">
        <f t="array" ref="K21">STDEV(IF((Data!$F$2:$F$251=$A21)*(Data!$H$2:$H$251=$B21)*(Data!$K$2:$K$251=$C21)*(Data!$L$2:$L$251=$D21)*(Data!$M$2:$M$251=$E21),Data!$N$2:$N$251," " ))</f>
        <v>2.3433518728522338</v>
      </c>
      <c r="L21" s="14">
        <f t="shared" si="0"/>
        <v>3.0140830000000194</v>
      </c>
      <c r="M21" s="14">
        <f t="shared" si="1"/>
        <v>2.6665399999999999</v>
      </c>
      <c r="N21" s="14">
        <f t="shared" si="2"/>
        <v>8.9229438869667028</v>
      </c>
      <c r="O21" s="14">
        <f t="array" ref="O21">AVERAGE(IF((Data!$F$2:$F$251=$A21)*(Data!$H$2:$H$251=$B21)*(Data!$K$2:$K$251=$C21)*(Data!$L$2:$L$251=$D21)*(Data!$M$2:$M$251=$E21),Data!$O$2:$O$251," " ))</f>
        <v>104.393</v>
      </c>
      <c r="P21" s="14">
        <f t="array" ref="P21">STDEV(IF((Data!$F$2:$F$251=$A21)*(Data!$H$2:$H$251=$B21)*(Data!$K$2:$K$251=$C21)*(Data!$L$2:$L$251=$D21)*(Data!$M$2:$M$251=$E21),Data!$O$2:$O$251," " ))</f>
        <v>1.0818733752154186</v>
      </c>
      <c r="Q21" s="14">
        <f t="shared" si="3"/>
        <v>1.3915350000000011</v>
      </c>
      <c r="R21" s="14">
        <f t="shared" si="4"/>
        <v>5.2196500000000006</v>
      </c>
      <c r="S21" s="14">
        <f t="shared" si="5"/>
        <v>11.470085575744413</v>
      </c>
      <c r="T21" s="1"/>
      <c r="U21" s="1"/>
      <c r="V21" s="1"/>
      <c r="W21" s="1"/>
      <c r="X21" s="1"/>
      <c r="Y21" s="1"/>
    </row>
    <row r="22" spans="1:25" x14ac:dyDescent="0.25">
      <c r="A22" s="1" t="s">
        <v>48</v>
      </c>
      <c r="B22" s="1" t="s">
        <v>285</v>
      </c>
      <c r="C22" s="9">
        <v>89.542536243683813</v>
      </c>
      <c r="D22" s="6">
        <v>195</v>
      </c>
      <c r="E22" s="6">
        <v>800</v>
      </c>
      <c r="F22" s="1">
        <f t="array" ref="F22">COUNT(IF((Data!$F$2:$F$251=$A22)*(Data!$H$2:$H$251=$B22)*(Data!$K$2:$K$251=$C22)*(Data!$L$2:$L$251=$D22)*(Data!$M$2:$M$251=$E22),Data!$N$2:$N$251," " ))</f>
        <v>2</v>
      </c>
      <c r="G22" s="16">
        <v>1.819</v>
      </c>
      <c r="H22" s="14">
        <v>0.5</v>
      </c>
      <c r="I22" s="14">
        <f>2*Data!D22</f>
        <v>1.86</v>
      </c>
      <c r="J22" s="14">
        <f t="array" ref="J22">AVERAGE(IF((Data!$F$2:$F$251=$A22)*(Data!$H$2:$H$251=$B22)*(Data!$K$2:$K$251=$C22)*(Data!$L$2:$L$251=$D22)*(Data!$M$2:$M$251=$E22),Data!$N$2:$N$251," " ))</f>
        <v>133.77350000000001</v>
      </c>
      <c r="K22" s="14">
        <f t="array" ref="K22">STDEV(IF((Data!$F$2:$F$251=$A22)*(Data!$H$2:$H$251=$B22)*(Data!$K$2:$K$251=$C22)*(Data!$L$2:$L$251=$D22)*(Data!$M$2:$M$251=$E22),Data!$N$2:$N$251," " ))</f>
        <v>0.27082189719445465</v>
      </c>
      <c r="L22" s="14">
        <f t="shared" si="0"/>
        <v>0.34833850000000893</v>
      </c>
      <c r="M22" s="14">
        <f t="shared" si="1"/>
        <v>2.6754700000000002</v>
      </c>
      <c r="N22" s="14">
        <f t="shared" si="2"/>
        <v>6.6299560877828618</v>
      </c>
      <c r="O22" s="14">
        <f t="array" ref="O22">AVERAGE(IF((Data!$F$2:$F$251=$A22)*(Data!$H$2:$H$251=$B22)*(Data!$K$2:$K$251=$C22)*(Data!$L$2:$L$251=$D22)*(Data!$M$2:$M$251=$E22),Data!$O$2:$O$251," " ))</f>
        <v>104.13800000000001</v>
      </c>
      <c r="P22" s="14">
        <f t="array" ref="P22">STDEV(IF((Data!$F$2:$F$251=$A22)*(Data!$H$2:$H$251=$B22)*(Data!$K$2:$K$251=$C22)*(Data!$L$2:$L$251=$D22)*(Data!$M$2:$M$251=$E22),Data!$O$2:$O$251," " ))</f>
        <v>3.9654548288941514</v>
      </c>
      <c r="Q22" s="14">
        <f t="shared" si="3"/>
        <v>5.1004759999999907</v>
      </c>
      <c r="R22" s="14">
        <f t="shared" si="4"/>
        <v>5.206900000000001</v>
      </c>
      <c r="S22" s="14">
        <f t="shared" si="5"/>
        <v>15.077965782767372</v>
      </c>
      <c r="T22" s="1"/>
      <c r="U22" s="1"/>
      <c r="V22" s="1"/>
      <c r="W22" s="1"/>
      <c r="X22" s="1"/>
      <c r="Y22" s="1"/>
    </row>
    <row r="23" spans="1:25" x14ac:dyDescent="0.25">
      <c r="A23" s="1" t="s">
        <v>48</v>
      </c>
      <c r="B23" s="1" t="s">
        <v>285</v>
      </c>
      <c r="C23" s="9">
        <v>94.139384708724563</v>
      </c>
      <c r="D23" s="6">
        <v>195</v>
      </c>
      <c r="E23" s="6">
        <v>800</v>
      </c>
      <c r="F23" s="1">
        <f t="array" ref="F23">COUNT(IF((Data!$F$2:$F$251=$A23)*(Data!$H$2:$H$251=$B23)*(Data!$K$2:$K$251=$C23)*(Data!$L$2:$L$251=$D23)*(Data!$M$2:$M$251=$E23),Data!$N$2:$N$251," " ))</f>
        <v>2</v>
      </c>
      <c r="G23" s="16">
        <v>1.819</v>
      </c>
      <c r="H23" s="14">
        <v>0.5</v>
      </c>
      <c r="I23" s="14">
        <f>2*Data!D23</f>
        <v>1.86</v>
      </c>
      <c r="J23" s="14">
        <f t="array" ref="J23">AVERAGE(IF((Data!$F$2:$F$251=$A23)*(Data!$H$2:$H$251=$B23)*(Data!$K$2:$K$251=$C23)*(Data!$L$2:$L$251=$D23)*(Data!$M$2:$M$251=$E23),Data!$N$2:$N$251," " ))</f>
        <v>137.59700000000001</v>
      </c>
      <c r="K23" s="14">
        <f t="array" ref="K23">STDEV(IF((Data!$F$2:$F$251=$A23)*(Data!$H$2:$H$251=$B23)*(Data!$K$2:$K$251=$C23)*(Data!$L$2:$L$251=$D23)*(Data!$M$2:$M$251=$E23),Data!$N$2:$N$251," " ))</f>
        <v>7.1205652865485289</v>
      </c>
      <c r="L23" s="14">
        <f t="shared" si="0"/>
        <v>9.1586649999999938</v>
      </c>
      <c r="M23" s="14">
        <f t="shared" si="1"/>
        <v>2.7519400000000003</v>
      </c>
      <c r="N23" s="14">
        <f t="shared" si="2"/>
        <v>19.510399108765036</v>
      </c>
      <c r="O23" s="14">
        <f t="array" ref="O23">AVERAGE(IF((Data!$F$2:$F$251=$A23)*(Data!$H$2:$H$251=$B23)*(Data!$K$2:$K$251=$C23)*(Data!$L$2:$L$251=$D23)*(Data!$M$2:$M$251=$E23),Data!$O$2:$O$251," " ))</f>
        <v>101.4615</v>
      </c>
      <c r="P23" s="14">
        <f t="array" ref="P23">STDEV(IF((Data!$F$2:$F$251=$A23)*(Data!$H$2:$H$251=$B23)*(Data!$K$2:$K$251=$C23)*(Data!$L$2:$L$251=$D23)*(Data!$M$2:$M$251=$E23),Data!$O$2:$O$251," " ))</f>
        <v>1.4417907268393715</v>
      </c>
      <c r="Q23" s="14">
        <f t="shared" si="3"/>
        <v>1.8544705000000012</v>
      </c>
      <c r="R23" s="14">
        <f t="shared" si="4"/>
        <v>5.0730750000000002</v>
      </c>
      <c r="S23" s="14">
        <f t="shared" si="5"/>
        <v>11.469045433861574</v>
      </c>
      <c r="T23" s="1"/>
      <c r="U23" s="1"/>
      <c r="V23" s="1"/>
      <c r="W23" s="1"/>
      <c r="X23" s="1"/>
      <c r="Y23" s="1"/>
    </row>
    <row r="24" spans="1:25" x14ac:dyDescent="0.25">
      <c r="A24" s="1" t="s">
        <v>48</v>
      </c>
      <c r="B24" s="1" t="s">
        <v>285</v>
      </c>
      <c r="C24" s="9">
        <v>99.293083285917049</v>
      </c>
      <c r="D24" s="6">
        <v>195</v>
      </c>
      <c r="E24" s="6">
        <v>800</v>
      </c>
      <c r="F24" s="1">
        <f t="array" ref="F24">COUNT(IF((Data!$F$2:$F$251=$A24)*(Data!$H$2:$H$251=$B24)*(Data!$K$2:$K$251=$C24)*(Data!$L$2:$L$251=$D24)*(Data!$M$2:$M$251=$E24),Data!$N$2:$N$251," " ))</f>
        <v>2</v>
      </c>
      <c r="G24" s="16">
        <v>1.819</v>
      </c>
      <c r="H24" s="14">
        <v>0.5</v>
      </c>
      <c r="I24" s="14">
        <f>2*Data!D24</f>
        <v>1.86</v>
      </c>
      <c r="J24" s="14">
        <f t="array" ref="J24">AVERAGE(IF((Data!$F$2:$F$251=$A24)*(Data!$H$2:$H$251=$B24)*(Data!$K$2:$K$251=$C24)*(Data!$L$2:$L$251=$D24)*(Data!$M$2:$M$251=$E24),Data!$N$2:$N$251," " ))</f>
        <v>129.822</v>
      </c>
      <c r="K24" s="14">
        <f t="array" ref="K24">STDEV(IF((Data!$F$2:$F$251=$A24)*(Data!$H$2:$H$251=$B24)*(Data!$K$2:$K$251=$C24)*(Data!$L$2:$L$251=$D24)*(Data!$M$2:$M$251=$E24),Data!$N$2:$N$251," " ))</f>
        <v>9.0509667991868117E-2</v>
      </c>
      <c r="L24" s="14">
        <f t="shared" si="0"/>
        <v>0.11641599999998717</v>
      </c>
      <c r="M24" s="14">
        <f t="shared" si="1"/>
        <v>2.5964400000000003</v>
      </c>
      <c r="N24" s="14">
        <f t="shared" si="2"/>
        <v>6.4698232923800942</v>
      </c>
      <c r="O24" s="14">
        <f t="array" ref="O24">AVERAGE(IF((Data!$F$2:$F$251=$A24)*(Data!$H$2:$H$251=$B24)*(Data!$K$2:$K$251=$C24)*(Data!$L$2:$L$251=$D24)*(Data!$M$2:$M$251=$E24),Data!$O$2:$O$251," " ))</f>
        <v>84.635999999999996</v>
      </c>
      <c r="P24" s="14">
        <f t="array" ref="P24">STDEV(IF((Data!$F$2:$F$251=$A24)*(Data!$H$2:$H$251=$B24)*(Data!$K$2:$K$251=$C24)*(Data!$L$2:$L$251=$D24)*(Data!$M$2:$M$251=$E24),Data!$O$2:$O$251," " ))</f>
        <v>1.8031222920256942</v>
      </c>
      <c r="Q24" s="14">
        <f t="shared" si="3"/>
        <v>2.3192249999999972</v>
      </c>
      <c r="R24" s="14">
        <f t="shared" si="4"/>
        <v>4.2317999999999998</v>
      </c>
      <c r="S24" s="14">
        <f t="shared" si="5"/>
        <v>10.391638146245276</v>
      </c>
      <c r="T24" s="1"/>
      <c r="U24" s="1"/>
      <c r="V24" s="1"/>
      <c r="W24" s="1"/>
      <c r="X24" s="1"/>
      <c r="Y24" s="1"/>
    </row>
    <row r="25" spans="1:25" x14ac:dyDescent="0.25">
      <c r="A25" s="1" t="s">
        <v>48</v>
      </c>
      <c r="B25" s="1" t="s">
        <v>285</v>
      </c>
      <c r="C25" s="8">
        <v>100.00000000000001</v>
      </c>
      <c r="D25" s="1">
        <v>122</v>
      </c>
      <c r="E25" s="1">
        <v>200</v>
      </c>
      <c r="F25" s="1">
        <f t="array" ref="F25">COUNT(IF((Data!$F$2:$F$251=$A25)*(Data!$H$2:$H$251=$B25)*(Data!$K$2:$K$251=$C25)*(Data!$L$2:$L$251=$D25)*(Data!$M$2:$M$251=$E25),Data!$N$2:$N$251," " ))</f>
        <v>2</v>
      </c>
      <c r="G25" s="16">
        <v>1.819</v>
      </c>
      <c r="H25" s="14">
        <v>0.5</v>
      </c>
      <c r="I25" s="14">
        <f>2*Data!D25</f>
        <v>1.86</v>
      </c>
      <c r="J25" s="14">
        <f t="array" ref="J25">AVERAGE(IF((Data!$F$2:$F$251=$A25)*(Data!$H$2:$H$251=$B25)*(Data!$K$2:$K$251=$C25)*(Data!$L$2:$L$251=$D25)*(Data!$M$2:$M$251=$E25),Data!$N$2:$N$251," " ))</f>
        <v>275.88900000000001</v>
      </c>
      <c r="K25" s="14">
        <f t="array" ref="K25">STDEV(IF((Data!$F$2:$F$251=$A25)*(Data!$H$2:$H$251=$B25)*(Data!$K$2:$K$251=$C25)*(Data!$L$2:$L$251=$D25)*(Data!$M$2:$M$251=$E25),Data!$N$2:$N$251," " ))</f>
        <v>12.726507847795475</v>
      </c>
      <c r="L25" s="14">
        <f t="shared" si="0"/>
        <v>16.369180999999987</v>
      </c>
      <c r="M25" s="14">
        <f t="shared" si="1"/>
        <v>5.5177800000000001</v>
      </c>
      <c r="N25" s="14">
        <f t="shared" si="2"/>
        <v>34.762369466948634</v>
      </c>
      <c r="O25" s="14">
        <f t="array" ref="O25">AVERAGE(IF((Data!$F$2:$F$251=$A25)*(Data!$H$2:$H$251=$B25)*(Data!$K$2:$K$251=$C25)*(Data!$L$2:$L$251=$D25)*(Data!$M$2:$M$251=$E25),Data!$O$2:$O$251," " ))</f>
        <v>286.92250000000001</v>
      </c>
      <c r="P25" s="14">
        <f t="array" ref="P25">STDEV(IF((Data!$F$2:$F$251=$A25)*(Data!$H$2:$H$251=$B25)*(Data!$K$2:$K$251=$C25)*(Data!$L$2:$L$251=$D25)*(Data!$M$2:$M$251=$E25),Data!$O$2:$O$251," " ))</f>
        <v>22.715805345617838</v>
      </c>
      <c r="Q25" s="14">
        <f t="shared" si="3"/>
        <v>29.217687499999993</v>
      </c>
      <c r="R25" s="14">
        <f t="shared" si="4"/>
        <v>14.346125000000001</v>
      </c>
      <c r="S25" s="14">
        <f t="shared" si="5"/>
        <v>65.213316596022963</v>
      </c>
      <c r="T25" s="1"/>
      <c r="U25" s="1"/>
      <c r="V25" s="1"/>
      <c r="W25" s="1"/>
      <c r="X25" s="1"/>
      <c r="Y25" s="1"/>
    </row>
    <row r="26" spans="1:25" x14ac:dyDescent="0.25">
      <c r="A26" s="1" t="s">
        <v>48</v>
      </c>
      <c r="B26" s="1" t="s">
        <v>285</v>
      </c>
      <c r="C26" s="8">
        <v>100.00000000000001</v>
      </c>
      <c r="D26" s="1">
        <v>122</v>
      </c>
      <c r="E26" s="1">
        <v>800</v>
      </c>
      <c r="F26" s="1">
        <f t="array" ref="F26">COUNT(IF((Data!$F$2:$F$251=$A26)*(Data!$H$2:$H$251=$B26)*(Data!$K$2:$K$251=$C26)*(Data!$L$2:$L$251=$D26)*(Data!$M$2:$M$251=$E26),Data!$N$2:$N$251," " ))</f>
        <v>2</v>
      </c>
      <c r="G26" s="16">
        <v>1.819</v>
      </c>
      <c r="H26" s="14">
        <v>0.5</v>
      </c>
      <c r="I26" s="14">
        <f>2*Data!D26</f>
        <v>1.86</v>
      </c>
      <c r="J26" s="14">
        <f t="array" ref="J26">AVERAGE(IF((Data!$F$2:$F$251=$A26)*(Data!$H$2:$H$251=$B26)*(Data!$K$2:$K$251=$C26)*(Data!$L$2:$L$251=$D26)*(Data!$M$2:$M$251=$E26),Data!$N$2:$N$251," " ))</f>
        <v>108.32849999999999</v>
      </c>
      <c r="K26" s="14">
        <f t="array" ref="K26">STDEV(IF((Data!$F$2:$F$251=$A26)*(Data!$H$2:$H$251=$B26)*(Data!$K$2:$K$251=$C26)*(Data!$L$2:$L$251=$D26)*(Data!$M$2:$M$251=$E26),Data!$N$2:$N$251," " ))</f>
        <v>1.6440232662587251</v>
      </c>
      <c r="L26" s="14">
        <f t="shared" si="0"/>
        <v>2.1145875000000025</v>
      </c>
      <c r="M26" s="14">
        <f t="shared" si="1"/>
        <v>2.1665699999999997</v>
      </c>
      <c r="N26" s="14">
        <f t="shared" si="2"/>
        <v>7.1763795496214557</v>
      </c>
      <c r="O26" s="14">
        <f t="array" ref="O26">AVERAGE(IF((Data!$F$2:$F$251=$A26)*(Data!$H$2:$H$251=$B26)*(Data!$K$2:$K$251=$C26)*(Data!$L$2:$L$251=$D26)*(Data!$M$2:$M$251=$E26),Data!$O$2:$O$251," " ))</f>
        <v>45.831500000000005</v>
      </c>
      <c r="P26" s="14">
        <f t="array" ref="P26">STDEV(IF((Data!$F$2:$F$251=$A26)*(Data!$H$2:$H$251=$B26)*(Data!$K$2:$K$251=$C26)*(Data!$L$2:$L$251=$D26)*(Data!$M$2:$M$251=$E26),Data!$O$2:$O$251," " ))</f>
        <v>0.64276006409857089</v>
      </c>
      <c r="Q26" s="14">
        <f t="shared" si="3"/>
        <v>0.82673549999999885</v>
      </c>
      <c r="R26" s="14">
        <f t="shared" si="4"/>
        <v>2.2915750000000004</v>
      </c>
      <c r="S26" s="14">
        <f t="shared" si="5"/>
        <v>6.2110892982101786</v>
      </c>
      <c r="T26" s="1"/>
      <c r="U26" s="1"/>
      <c r="V26" s="1"/>
      <c r="W26" s="1"/>
      <c r="X26" s="1"/>
      <c r="Y26" s="1"/>
    </row>
    <row r="27" spans="1:25" x14ac:dyDescent="0.25">
      <c r="A27" s="1" t="s">
        <v>48</v>
      </c>
      <c r="B27" s="1" t="s">
        <v>285</v>
      </c>
      <c r="C27" s="9">
        <v>100.00000000000001</v>
      </c>
      <c r="D27" s="6">
        <v>179.2</v>
      </c>
      <c r="E27" s="6">
        <v>800</v>
      </c>
      <c r="F27" s="1">
        <f t="array" ref="F27">COUNT(IF((Data!$F$2:$F$251=$A27)*(Data!$H$2:$H$251=$B27)*(Data!$K$2:$K$251=$C27)*(Data!$L$2:$L$251=$D27)*(Data!$M$2:$M$251=$E27),Data!$N$2:$N$251," " ))</f>
        <v>2</v>
      </c>
      <c r="G27" s="16">
        <v>1.819</v>
      </c>
      <c r="H27" s="14">
        <v>0.5</v>
      </c>
      <c r="I27" s="14">
        <f>2*Data!D27</f>
        <v>1.86</v>
      </c>
      <c r="J27" s="14">
        <f t="array" ref="J27">AVERAGE(IF((Data!$F$2:$F$251=$A27)*(Data!$H$2:$H$251=$B27)*(Data!$K$2:$K$251=$C27)*(Data!$L$2:$L$251=$D27)*(Data!$M$2:$M$251=$E27),Data!$N$2:$N$251," " ))</f>
        <v>128.101</v>
      </c>
      <c r="K27" s="14">
        <f t="array" ref="K27">STDEV(IF((Data!$F$2:$F$251=$A27)*(Data!$H$2:$H$251=$B27)*(Data!$K$2:$K$251=$C27)*(Data!$L$2:$L$251=$D27)*(Data!$M$2:$M$251=$E27),Data!$N$2:$N$251," " ))</f>
        <v>0</v>
      </c>
      <c r="L27" s="14">
        <f t="shared" si="0"/>
        <v>0</v>
      </c>
      <c r="M27" s="14">
        <f t="shared" si="1"/>
        <v>2.56202</v>
      </c>
      <c r="N27" s="14">
        <f t="shared" si="2"/>
        <v>6.4104747032961606</v>
      </c>
      <c r="O27" s="14">
        <f t="array" ref="O27">AVERAGE(IF((Data!$F$2:$F$251=$A27)*(Data!$H$2:$H$251=$B27)*(Data!$K$2:$K$251=$C27)*(Data!$L$2:$L$251=$D27)*(Data!$M$2:$M$251=$E27),Data!$O$2:$O$251," " ))</f>
        <v>84.763499999999993</v>
      </c>
      <c r="P27" s="14">
        <f t="array" ref="P27">STDEV(IF((Data!$F$2:$F$251=$A27)*(Data!$H$2:$H$251=$B27)*(Data!$K$2:$K$251=$C27)*(Data!$L$2:$L$251=$D27)*(Data!$M$2:$M$251=$E27),Data!$O$2:$O$251," " ))</f>
        <v>1.4417907268393715</v>
      </c>
      <c r="Q27" s="14">
        <f t="shared" si="3"/>
        <v>1.8544705000000012</v>
      </c>
      <c r="R27" s="14">
        <f t="shared" si="4"/>
        <v>4.238175</v>
      </c>
      <c r="S27" s="14">
        <f t="shared" si="5"/>
        <v>10.022133139406053</v>
      </c>
      <c r="T27" s="1"/>
      <c r="U27" s="1"/>
      <c r="V27" s="1"/>
      <c r="W27" s="1"/>
      <c r="X27" s="1"/>
      <c r="Y27" s="1"/>
    </row>
    <row r="28" spans="1:25" x14ac:dyDescent="0.25">
      <c r="A28" s="1" t="s">
        <v>48</v>
      </c>
      <c r="B28" s="1" t="s">
        <v>285</v>
      </c>
      <c r="C28" s="8">
        <v>100.00000000000001</v>
      </c>
      <c r="D28" s="1">
        <v>195</v>
      </c>
      <c r="E28" s="1">
        <v>200</v>
      </c>
      <c r="F28" s="1">
        <f t="array" ref="F28">COUNT(IF((Data!$F$2:$F$251=$A28)*(Data!$H$2:$H$251=$B28)*(Data!$K$2:$K$251=$C28)*(Data!$L$2:$L$251=$D28)*(Data!$M$2:$M$251=$E28),Data!$N$2:$N$251," " ))</f>
        <v>2</v>
      </c>
      <c r="G28" s="16">
        <v>1.819</v>
      </c>
      <c r="H28" s="14">
        <v>0.5</v>
      </c>
      <c r="I28" s="14">
        <f>2*Data!D28</f>
        <v>1.86</v>
      </c>
      <c r="J28" s="14">
        <f t="array" ref="J28">AVERAGE(IF((Data!$F$2:$F$251=$A28)*(Data!$H$2:$H$251=$B28)*(Data!$K$2:$K$251=$C28)*(Data!$L$2:$L$251=$D28)*(Data!$M$2:$M$251=$E28),Data!$N$2:$N$251," " ))</f>
        <v>261.52250000000004</v>
      </c>
      <c r="K28" s="14">
        <f t="array" ref="K28">STDEV(IF((Data!$F$2:$F$251=$A28)*(Data!$H$2:$H$251=$B28)*(Data!$K$2:$K$251=$C28)*(Data!$L$2:$L$251=$D28)*(Data!$M$2:$M$251=$E28),Data!$N$2:$N$251," " ))</f>
        <v>5.3704760031118077</v>
      </c>
      <c r="L28" s="14">
        <f t="shared" si="0"/>
        <v>6.9076524999999727</v>
      </c>
      <c r="M28" s="14">
        <f t="shared" si="1"/>
        <v>5.2304500000000012</v>
      </c>
      <c r="N28" s="14">
        <f t="shared" si="2"/>
        <v>17.751943021906744</v>
      </c>
      <c r="O28" s="14">
        <f t="array" ref="O28">AVERAGE(IF((Data!$F$2:$F$251=$A28)*(Data!$H$2:$H$251=$B28)*(Data!$K$2:$K$251=$C28)*(Data!$L$2:$L$251=$D28)*(Data!$M$2:$M$251=$E28),Data!$O$2:$O$251," " ))</f>
        <v>342.52350000000001</v>
      </c>
      <c r="P28" s="14">
        <f t="array" ref="P28">STDEV(IF((Data!$F$2:$F$251=$A28)*(Data!$H$2:$H$251=$B28)*(Data!$K$2:$K$251=$C28)*(Data!$L$2:$L$251=$D28)*(Data!$M$2:$M$251=$E28),Data!$O$2:$O$251," " ))</f>
        <v>9.0163185669096499</v>
      </c>
      <c r="Q28" s="14">
        <f t="shared" si="3"/>
        <v>11.597034499999976</v>
      </c>
      <c r="R28" s="14">
        <f t="shared" si="4"/>
        <v>17.126175</v>
      </c>
      <c r="S28" s="14">
        <f t="shared" si="5"/>
        <v>41.545477699735969</v>
      </c>
      <c r="T28" s="1"/>
      <c r="U28" s="1"/>
      <c r="V28" s="1"/>
      <c r="W28" s="1"/>
      <c r="X28" s="1"/>
      <c r="Y28" s="1"/>
    </row>
    <row r="29" spans="1:25" x14ac:dyDescent="0.25">
      <c r="A29" s="1" t="s">
        <v>48</v>
      </c>
      <c r="B29" s="1" t="s">
        <v>285</v>
      </c>
      <c r="C29" s="8">
        <v>100.00000000000001</v>
      </c>
      <c r="D29" s="1">
        <v>195</v>
      </c>
      <c r="E29" s="1">
        <v>800</v>
      </c>
      <c r="F29" s="1">
        <f t="array" ref="F29">COUNT(IF((Data!$F$2:$F$251=$A29)*(Data!$H$2:$H$251=$B29)*(Data!$K$2:$K$251=$C29)*(Data!$L$2:$L$251=$D29)*(Data!$M$2:$M$251=$E29),Data!$N$2:$N$251," " ))</f>
        <v>10</v>
      </c>
      <c r="G29" s="16">
        <v>1.0525</v>
      </c>
      <c r="H29" s="14">
        <v>0.5</v>
      </c>
      <c r="I29" s="14">
        <f>2*Data!D29</f>
        <v>1.86</v>
      </c>
      <c r="J29" s="14">
        <f t="array" ref="J29">AVERAGE(IF((Data!$F$2:$F$251=$A29)*(Data!$H$2:$H$251=$B29)*(Data!$K$2:$K$251=$C29)*(Data!$L$2:$L$251=$D29)*(Data!$M$2:$M$251=$E29),Data!$N$2:$N$251," " ))</f>
        <v>135.57599999999999</v>
      </c>
      <c r="K29" s="14">
        <f t="array" ref="K29">STDEV(IF((Data!$F$2:$F$251=$A29)*(Data!$H$2:$H$251=$B29)*(Data!$K$2:$K$251=$C29)*(Data!$L$2:$L$251=$D29)*(Data!$M$2:$M$251=$E29),Data!$N$2:$N$251," " ))</f>
        <v>10.901329959637446</v>
      </c>
      <c r="L29" s="14">
        <f t="shared" si="0"/>
        <v>3.6282866387853754</v>
      </c>
      <c r="M29" s="14">
        <f t="shared" si="1"/>
        <v>2.7115199999999997</v>
      </c>
      <c r="N29" s="14">
        <f t="shared" si="2"/>
        <v>9.8440651447638174</v>
      </c>
      <c r="O29" s="14">
        <f t="array" ref="O29">AVERAGE(IF((Data!$F$2:$F$251=$A29)*(Data!$H$2:$H$251=$B29)*(Data!$K$2:$K$251=$C29)*(Data!$L$2:$L$251=$D29)*(Data!$M$2:$M$251=$E29),Data!$O$2:$O$251," " ))</f>
        <v>91.2577</v>
      </c>
      <c r="P29" s="14">
        <f t="array" ref="P29">STDEV(IF((Data!$F$2:$F$251=$A29)*(Data!$H$2:$H$251=$B29)*(Data!$K$2:$K$251=$C29)*(Data!$L$2:$L$251=$D29)*(Data!$M$2:$M$251=$E29),Data!$O$2:$O$251," " ))</f>
        <v>6.3875778934150329</v>
      </c>
      <c r="Q29" s="14">
        <f t="shared" si="3"/>
        <v>2.1259757855865669</v>
      </c>
      <c r="R29" s="14">
        <f t="shared" si="4"/>
        <v>4.5628850000000005</v>
      </c>
      <c r="S29" s="14">
        <f t="shared" si="5"/>
        <v>10.779479127328077</v>
      </c>
      <c r="T29" s="1"/>
      <c r="U29" s="1"/>
      <c r="V29" s="1"/>
      <c r="W29" s="1"/>
      <c r="X29" s="1"/>
      <c r="Y29" s="1"/>
    </row>
    <row r="30" spans="1:25" x14ac:dyDescent="0.25">
      <c r="A30" s="1" t="s">
        <v>48</v>
      </c>
      <c r="B30" s="1" t="s">
        <v>285</v>
      </c>
      <c r="C30" s="9">
        <v>102.7889460513682</v>
      </c>
      <c r="D30" s="6">
        <v>195</v>
      </c>
      <c r="E30" s="6">
        <v>800</v>
      </c>
      <c r="F30" s="1">
        <f t="array" ref="F30">COUNT(IF((Data!$F$2:$F$251=$A30)*(Data!$H$2:$H$251=$B30)*(Data!$K$2:$K$251=$C30)*(Data!$L$2:$L$251=$D30)*(Data!$M$2:$M$251=$E30),Data!$N$2:$N$251," " ))</f>
        <v>2</v>
      </c>
      <c r="G30" s="16">
        <v>1.819</v>
      </c>
      <c r="H30" s="14">
        <v>0.5</v>
      </c>
      <c r="I30" s="14">
        <f>2*Data!D30</f>
        <v>1.86</v>
      </c>
      <c r="J30" s="14">
        <f t="array" ref="J30">AVERAGE(IF((Data!$F$2:$F$251=$A30)*(Data!$H$2:$H$251=$B30)*(Data!$K$2:$K$251=$C30)*(Data!$L$2:$L$251=$D30)*(Data!$M$2:$M$251=$E30),Data!$N$2:$N$251," " ))</f>
        <v>131.16050000000001</v>
      </c>
      <c r="K30" s="14">
        <f t="array" ref="K30">STDEV(IF((Data!$F$2:$F$251=$A30)*(Data!$H$2:$H$251=$B30)*(Data!$K$2:$K$251=$C30)*(Data!$L$2:$L$251=$D30)*(Data!$M$2:$M$251=$E30),Data!$N$2:$N$251," " ))</f>
        <v>1.8024151852445143</v>
      </c>
      <c r="L30" s="14">
        <f t="shared" si="0"/>
        <v>2.3183155000000055</v>
      </c>
      <c r="M30" s="14">
        <f t="shared" si="1"/>
        <v>2.6232100000000003</v>
      </c>
      <c r="N30" s="14">
        <f t="shared" si="2"/>
        <v>7.9913496886671851</v>
      </c>
      <c r="O30" s="14">
        <f t="array" ref="O30">AVERAGE(IF((Data!$F$2:$F$251=$A30)*(Data!$H$2:$H$251=$B30)*(Data!$K$2:$K$251=$C30)*(Data!$L$2:$L$251=$D30)*(Data!$M$2:$M$251=$E30),Data!$O$2:$O$251," " ))</f>
        <v>97.445999999999998</v>
      </c>
      <c r="P30" s="14">
        <f t="array" ref="P30">STDEV(IF((Data!$F$2:$F$251=$A30)*(Data!$H$2:$H$251=$B30)*(Data!$K$2:$K$251=$C30)*(Data!$L$2:$L$251=$D30)*(Data!$M$2:$M$251=$E30),Data!$O$2:$O$251," " ))</f>
        <v>1.8922177464552026</v>
      </c>
      <c r="Q30" s="14">
        <f t="shared" si="3"/>
        <v>2.4338220000000015</v>
      </c>
      <c r="R30" s="14">
        <f t="shared" si="4"/>
        <v>4.8723000000000001</v>
      </c>
      <c r="S30" s="14">
        <f t="shared" si="5"/>
        <v>11.553769396640043</v>
      </c>
      <c r="T30" s="1"/>
      <c r="U30" s="1"/>
      <c r="V30" s="1"/>
      <c r="W30" s="1"/>
      <c r="X30" s="1"/>
      <c r="Y30" s="1"/>
    </row>
    <row r="31" spans="1:25" x14ac:dyDescent="0.25">
      <c r="A31" s="1" t="s">
        <v>48</v>
      </c>
      <c r="B31" s="1" t="s">
        <v>285</v>
      </c>
      <c r="C31" s="9">
        <v>104.92160741340118</v>
      </c>
      <c r="D31" s="6">
        <v>195</v>
      </c>
      <c r="E31" s="6">
        <v>800</v>
      </c>
      <c r="F31" s="1">
        <f t="array" ref="F31">COUNT(IF((Data!$F$2:$F$251=$A31)*(Data!$H$2:$H$251=$B31)*(Data!$K$2:$K$251=$C31)*(Data!$L$2:$L$251=$D31)*(Data!$M$2:$M$251=$E31),Data!$N$2:$N$251," " ))</f>
        <v>2</v>
      </c>
      <c r="G31" s="16">
        <v>1.819</v>
      </c>
      <c r="H31" s="14">
        <v>0.5</v>
      </c>
      <c r="I31" s="14">
        <f>2*Data!D31</f>
        <v>1.86</v>
      </c>
      <c r="J31" s="14">
        <f t="array" ref="J31">AVERAGE(IF((Data!$F$2:$F$251=$A31)*(Data!$H$2:$H$251=$B31)*(Data!$K$2:$K$251=$C31)*(Data!$L$2:$L$251=$D31)*(Data!$M$2:$M$251=$E31),Data!$N$2:$N$251," " ))</f>
        <v>125.99799999999999</v>
      </c>
      <c r="K31" s="14">
        <f t="array" ref="K31">STDEV(IF((Data!$F$2:$F$251=$A31)*(Data!$H$2:$H$251=$B31)*(Data!$K$2:$K$251=$C31)*(Data!$L$2:$L$251=$D31)*(Data!$M$2:$M$251=$E31),Data!$N$2:$N$251," " ))</f>
        <v>2.073237082438959</v>
      </c>
      <c r="L31" s="14">
        <f t="shared" si="0"/>
        <v>2.6666540000000016</v>
      </c>
      <c r="M31" s="14">
        <f t="shared" si="1"/>
        <v>2.5199599999999998</v>
      </c>
      <c r="N31" s="14">
        <f t="shared" si="2"/>
        <v>8.287542930764463</v>
      </c>
      <c r="O31" s="14">
        <f t="array" ref="O31">AVERAGE(IF((Data!$F$2:$F$251=$A31)*(Data!$H$2:$H$251=$B31)*(Data!$K$2:$K$251=$C31)*(Data!$L$2:$L$251=$D31)*(Data!$M$2:$M$251=$E31),Data!$O$2:$O$251," " ))</f>
        <v>72.399500000000003</v>
      </c>
      <c r="P31" s="14">
        <f t="array" ref="P31">STDEV(IF((Data!$F$2:$F$251=$A31)*(Data!$H$2:$H$251=$B31)*(Data!$K$2:$K$251=$C31)*(Data!$L$2:$L$251=$D31)*(Data!$M$2:$M$251=$E31),Data!$O$2:$O$251," " ))</f>
        <v>3.0638936828813095</v>
      </c>
      <c r="Q31" s="14">
        <f t="shared" si="3"/>
        <v>3.9408634999999981</v>
      </c>
      <c r="R31" s="14">
        <f t="shared" si="4"/>
        <v>3.6199750000000002</v>
      </c>
      <c r="S31" s="14">
        <f t="shared" si="5"/>
        <v>11.374396533664058</v>
      </c>
      <c r="T31" s="1"/>
      <c r="U31" s="1"/>
      <c r="V31" s="1"/>
      <c r="W31" s="1"/>
      <c r="X31" s="1"/>
      <c r="Y31" s="1"/>
    </row>
    <row r="32" spans="1:25" x14ac:dyDescent="0.25">
      <c r="A32" s="1" t="s">
        <v>48</v>
      </c>
      <c r="B32" s="1" t="s">
        <v>285</v>
      </c>
      <c r="C32" s="9">
        <v>105.68476016142262</v>
      </c>
      <c r="D32" s="6">
        <v>195</v>
      </c>
      <c r="E32" s="6">
        <v>800</v>
      </c>
      <c r="F32" s="1">
        <f t="array" ref="F32">COUNT(IF((Data!$F$2:$F$251=$A32)*(Data!$H$2:$H$251=$B32)*(Data!$K$2:$K$251=$C32)*(Data!$L$2:$L$251=$D32)*(Data!$M$2:$M$251=$E32),Data!$N$2:$N$251," " ))</f>
        <v>2</v>
      </c>
      <c r="G32" s="16">
        <v>1.819</v>
      </c>
      <c r="H32" s="14">
        <v>0.5</v>
      </c>
      <c r="I32" s="14">
        <f>2*Data!D32</f>
        <v>1.86</v>
      </c>
      <c r="J32" s="14">
        <f t="array" ref="J32">AVERAGE(IF((Data!$F$2:$F$251=$A32)*(Data!$H$2:$H$251=$B32)*(Data!$K$2:$K$251=$C32)*(Data!$L$2:$L$251=$D32)*(Data!$M$2:$M$251=$E32),Data!$N$2:$N$251," " ))</f>
        <v>126.89</v>
      </c>
      <c r="K32" s="14">
        <f t="array" ref="K32">STDEV(IF((Data!$F$2:$F$251=$A32)*(Data!$H$2:$H$251=$B32)*(Data!$K$2:$K$251=$C32)*(Data!$L$2:$L$251=$D32)*(Data!$M$2:$M$251=$E32),Data!$N$2:$N$251," " ))</f>
        <v>1.3519881656286832</v>
      </c>
      <c r="L32" s="14">
        <f t="shared" si="0"/>
        <v>1.7389640000000053</v>
      </c>
      <c r="M32" s="14">
        <f t="shared" si="1"/>
        <v>2.5378000000000003</v>
      </c>
      <c r="N32" s="14">
        <f t="shared" si="2"/>
        <v>7.2592078447433979</v>
      </c>
      <c r="O32" s="14">
        <f t="array" ref="O32">AVERAGE(IF((Data!$F$2:$F$251=$A32)*(Data!$H$2:$H$251=$B32)*(Data!$K$2:$K$251=$C32)*(Data!$L$2:$L$251=$D32)*(Data!$M$2:$M$251=$E32),Data!$O$2:$O$251," " ))</f>
        <v>82.277999999999992</v>
      </c>
      <c r="P32" s="14">
        <f t="array" ref="P32">STDEV(IF((Data!$F$2:$F$251=$A32)*(Data!$H$2:$H$251=$B32)*(Data!$K$2:$K$251=$C32)*(Data!$L$2:$L$251=$D32)*(Data!$M$2:$M$251=$E32),Data!$O$2:$O$251," " ))</f>
        <v>0.27011479041325465</v>
      </c>
      <c r="Q32" s="14">
        <f t="shared" si="3"/>
        <v>0.34742899999999161</v>
      </c>
      <c r="R32" s="14">
        <f t="shared" si="4"/>
        <v>4.1139000000000001</v>
      </c>
      <c r="S32" s="14">
        <f t="shared" si="5"/>
        <v>9.1114170401844721</v>
      </c>
      <c r="T32" s="1"/>
      <c r="U32" s="1"/>
      <c r="V32" s="1"/>
      <c r="W32" s="1"/>
      <c r="X32" s="1"/>
      <c r="Y32" s="1"/>
    </row>
    <row r="33" spans="1:25" x14ac:dyDescent="0.25">
      <c r="A33" s="1" t="s">
        <v>48</v>
      </c>
      <c r="B33" s="1" t="s">
        <v>285</v>
      </c>
      <c r="C33" s="8">
        <v>107.46996488246072</v>
      </c>
      <c r="D33" s="1">
        <v>122</v>
      </c>
      <c r="E33" s="1">
        <v>200</v>
      </c>
      <c r="F33" s="1">
        <f t="array" ref="F33">COUNT(IF((Data!$F$2:$F$251=$A33)*(Data!$H$2:$H$251=$B33)*(Data!$K$2:$K$251=$C33)*(Data!$L$2:$L$251=$D33)*(Data!$M$2:$M$251=$E33),Data!$N$2:$N$251," " ))</f>
        <v>2</v>
      </c>
      <c r="G33" s="16">
        <v>1.819</v>
      </c>
      <c r="H33" s="14">
        <v>0.5</v>
      </c>
      <c r="I33" s="14">
        <f>2*Data!D33</f>
        <v>1.86</v>
      </c>
      <c r="J33" s="14">
        <f t="array" ref="J33">AVERAGE(IF((Data!$F$2:$F$251=$A33)*(Data!$H$2:$H$251=$B33)*(Data!$K$2:$K$251=$C33)*(Data!$L$2:$L$251=$D33)*(Data!$M$2:$M$251=$E33),Data!$N$2:$N$251," " ))</f>
        <v>206.54349999999999</v>
      </c>
      <c r="K33" s="14">
        <f t="array" ref="K33">STDEV(IF((Data!$F$2:$F$251=$A33)*(Data!$H$2:$H$251=$B33)*(Data!$K$2:$K$251=$C33)*(Data!$L$2:$L$251=$D33)*(Data!$M$2:$M$251=$E33),Data!$N$2:$N$251," " ))</f>
        <v>2.0994000333428553</v>
      </c>
      <c r="L33" s="14">
        <f t="shared" si="0"/>
        <v>2.700305499999994</v>
      </c>
      <c r="M33" s="14">
        <f t="shared" si="1"/>
        <v>4.1308699999999998</v>
      </c>
      <c r="N33" s="14">
        <f t="shared" si="2"/>
        <v>10.595345534758216</v>
      </c>
      <c r="O33" s="14">
        <f t="array" ref="O33">AVERAGE(IF((Data!$F$2:$F$251=$A33)*(Data!$H$2:$H$251=$B33)*(Data!$K$2:$K$251=$C33)*(Data!$L$2:$L$251=$D33)*(Data!$M$2:$M$251=$E33),Data!$O$2:$O$251," " ))</f>
        <v>179.80099999999999</v>
      </c>
      <c r="P33" s="14">
        <f t="array" ref="P33">STDEV(IF((Data!$F$2:$F$251=$A33)*(Data!$H$2:$H$251=$B33)*(Data!$K$2:$K$251=$C33)*(Data!$L$2:$L$251=$D33)*(Data!$M$2:$M$251=$E33),Data!$O$2:$O$251," " ))</f>
        <v>1.1398561312727109</v>
      </c>
      <c r="Q33" s="14">
        <f t="shared" si="3"/>
        <v>1.466113999999995</v>
      </c>
      <c r="R33" s="14">
        <f t="shared" si="4"/>
        <v>8.9900500000000001</v>
      </c>
      <c r="S33" s="14">
        <f t="shared" si="5"/>
        <v>18.620428487389432</v>
      </c>
      <c r="T33" s="1"/>
      <c r="U33" s="1"/>
      <c r="V33" s="1"/>
      <c r="W33" s="1"/>
      <c r="X33" s="1"/>
      <c r="Y33" s="1"/>
    </row>
    <row r="34" spans="1:25" x14ac:dyDescent="0.25">
      <c r="A34" s="1" t="s">
        <v>48</v>
      </c>
      <c r="B34" s="1" t="s">
        <v>285</v>
      </c>
      <c r="C34" s="8">
        <v>107.46996488246072</v>
      </c>
      <c r="D34" s="1">
        <v>195</v>
      </c>
      <c r="E34" s="1">
        <v>200</v>
      </c>
      <c r="F34" s="1">
        <f t="array" ref="F34">COUNT(IF((Data!$F$2:$F$251=$A34)*(Data!$H$2:$H$251=$B34)*(Data!$K$2:$K$251=$C34)*(Data!$L$2:$L$251=$D34)*(Data!$M$2:$M$251=$E34),Data!$N$2:$N$251," " ))</f>
        <v>2</v>
      </c>
      <c r="G34" s="16">
        <v>1.819</v>
      </c>
      <c r="H34" s="14">
        <v>0.5</v>
      </c>
      <c r="I34" s="14">
        <f>2*Data!D34</f>
        <v>1.86</v>
      </c>
      <c r="J34" s="14">
        <f t="array" ref="J34">AVERAGE(IF((Data!$F$2:$F$251=$A34)*(Data!$H$2:$H$251=$B34)*(Data!$K$2:$K$251=$C34)*(Data!$L$2:$L$251=$D34)*(Data!$M$2:$M$251=$E34),Data!$N$2:$N$251," " ))</f>
        <v>252.11349999999999</v>
      </c>
      <c r="K34" s="14">
        <f t="array" ref="K34">STDEV(IF((Data!$F$2:$F$251=$A34)*(Data!$H$2:$H$251=$B34)*(Data!$K$2:$K$251=$C34)*(Data!$L$2:$L$251=$D34)*(Data!$M$2:$M$251=$E34),Data!$N$2:$N$251," " ))</f>
        <v>5.5995786002162573</v>
      </c>
      <c r="L34" s="14">
        <f t="shared" ref="L34:L65" si="6">G34*K34/SQRT(F34)</f>
        <v>7.2023304999999835</v>
      </c>
      <c r="M34" s="14">
        <f t="shared" ref="M34:M65" si="7">J34*2%</f>
        <v>5.0422700000000003</v>
      </c>
      <c r="N34" s="14">
        <f t="shared" ref="N34:N65" si="8">2*SQRT(SUMSQ(H34,I34,L34,M34))</f>
        <v>18.000850133716465</v>
      </c>
      <c r="O34" s="14">
        <f t="array" ref="O34">AVERAGE(IF((Data!$F$2:$F$251=$A34)*(Data!$H$2:$H$251=$B34)*(Data!$K$2:$K$251=$C34)*(Data!$L$2:$L$251=$D34)*(Data!$M$2:$M$251=$E34),Data!$O$2:$O$251," " ))</f>
        <v>347.589</v>
      </c>
      <c r="P34" s="14">
        <f t="array" ref="P34">STDEV(IF((Data!$F$2:$F$251=$A34)*(Data!$H$2:$H$251=$B34)*(Data!$K$2:$K$251=$C34)*(Data!$L$2:$L$251=$D34)*(Data!$M$2:$M$251=$E34),Data!$O$2:$O$251," " ))</f>
        <v>3.8650456659656744</v>
      </c>
      <c r="Q34" s="14">
        <f t="shared" ref="Q34:Q65" si="9">G34*P34/SQRT(F34)</f>
        <v>4.9713270000000067</v>
      </c>
      <c r="R34" s="14">
        <f t="shared" ref="R34:R65" si="10">O34*5%</f>
        <v>17.379450000000002</v>
      </c>
      <c r="S34" s="14">
        <f t="shared" ref="S34:S65" si="11">2*SQRT(SUMSQ(H34,I34,Q34,R34))</f>
        <v>36.357611277058844</v>
      </c>
      <c r="T34" s="1"/>
      <c r="U34" s="1"/>
      <c r="V34" s="1"/>
      <c r="W34" s="1"/>
      <c r="X34" s="1"/>
      <c r="Y34" s="1"/>
    </row>
    <row r="35" spans="1:25" x14ac:dyDescent="0.25">
      <c r="A35" s="1" t="s">
        <v>48</v>
      </c>
      <c r="B35" s="1" t="s">
        <v>285</v>
      </c>
      <c r="C35" s="9">
        <v>108.67889997639378</v>
      </c>
      <c r="D35" s="6">
        <v>195</v>
      </c>
      <c r="E35" s="6">
        <v>800</v>
      </c>
      <c r="F35" s="1">
        <f t="array" ref="F35">COUNT(IF((Data!$F$2:$F$251=$A35)*(Data!$H$2:$H$251=$B35)*(Data!$K$2:$K$251=$C35)*(Data!$L$2:$L$251=$D35)*(Data!$M$2:$M$251=$E35),Data!$N$2:$N$251," " ))</f>
        <v>4</v>
      </c>
      <c r="G35" s="16">
        <v>1.1978</v>
      </c>
      <c r="H35" s="14">
        <v>0.5</v>
      </c>
      <c r="I35" s="14">
        <f>2*Data!D35</f>
        <v>1.86</v>
      </c>
      <c r="J35" s="14">
        <f t="array" ref="J35">AVERAGE(IF((Data!$F$2:$F$251=$A35)*(Data!$H$2:$H$251=$B35)*(Data!$K$2:$K$251=$C35)*(Data!$L$2:$L$251=$D35)*(Data!$M$2:$M$251=$E35),Data!$N$2:$N$251," " ))</f>
        <v>125.87050000000001</v>
      </c>
      <c r="K35" s="14">
        <f t="array" ref="K35">STDEV(IF((Data!$F$2:$F$251=$A35)*(Data!$H$2:$H$251=$B35)*(Data!$K$2:$K$251=$C35)*(Data!$L$2:$L$251=$D35)*(Data!$M$2:$M$251=$E35),Data!$N$2:$N$251," " ))</f>
        <v>2.4767523762647978</v>
      </c>
      <c r="L35" s="14">
        <f t="shared" si="6"/>
        <v>1.4833269981449875</v>
      </c>
      <c r="M35" s="14">
        <f t="shared" si="7"/>
        <v>2.5174100000000004</v>
      </c>
      <c r="N35" s="14">
        <f t="shared" si="8"/>
        <v>6.999203409396193</v>
      </c>
      <c r="O35" s="14">
        <f t="array" ref="O35">AVERAGE(IF((Data!$F$2:$F$251=$A35)*(Data!$H$2:$H$251=$B35)*(Data!$K$2:$K$251=$C35)*(Data!$L$2:$L$251=$D35)*(Data!$M$2:$M$251=$E35),Data!$O$2:$O$251," " ))</f>
        <v>83.616</v>
      </c>
      <c r="P35" s="14">
        <f t="array" ref="P35">STDEV(IF((Data!$F$2:$F$251=$A35)*(Data!$H$2:$H$251=$B35)*(Data!$K$2:$K$251=$C35)*(Data!$L$2:$L$251=$D35)*(Data!$M$2:$M$251=$E35),Data!$O$2:$O$251," " ))</f>
        <v>2.7239893538705311</v>
      </c>
      <c r="Q35" s="14">
        <f t="shared" si="9"/>
        <v>1.631397224033061</v>
      </c>
      <c r="R35" s="14">
        <f t="shared" si="10"/>
        <v>4.1808000000000005</v>
      </c>
      <c r="S35" s="14">
        <f t="shared" si="11"/>
        <v>9.767322159646989</v>
      </c>
      <c r="T35" s="1"/>
      <c r="U35" s="1"/>
      <c r="V35" s="1"/>
      <c r="W35" s="1"/>
      <c r="X35" s="1"/>
      <c r="Y35" s="1"/>
    </row>
    <row r="36" spans="1:25" x14ac:dyDescent="0.25">
      <c r="A36" s="1" t="s">
        <v>48</v>
      </c>
      <c r="B36" s="1" t="s">
        <v>285</v>
      </c>
      <c r="C36" s="9">
        <v>110.95271828441474</v>
      </c>
      <c r="D36" s="6">
        <v>195</v>
      </c>
      <c r="E36" s="6">
        <v>800</v>
      </c>
      <c r="F36" s="1">
        <f t="array" ref="F36">COUNT(IF((Data!$F$2:$F$251=$A36)*(Data!$H$2:$H$251=$B36)*(Data!$K$2:$K$251=$C36)*(Data!$L$2:$L$251=$D36)*(Data!$M$2:$M$251=$E36),Data!$N$2:$N$251," " ))</f>
        <v>2</v>
      </c>
      <c r="G36" s="16">
        <v>1.819</v>
      </c>
      <c r="H36" s="14">
        <v>0.5</v>
      </c>
      <c r="I36" s="14">
        <f>2*Data!D36</f>
        <v>1.86</v>
      </c>
      <c r="J36" s="14">
        <f t="array" ref="J36">AVERAGE(IF((Data!$F$2:$F$251=$A36)*(Data!$H$2:$H$251=$B36)*(Data!$K$2:$K$251=$C36)*(Data!$L$2:$L$251=$D36)*(Data!$M$2:$M$251=$E36),Data!$N$2:$N$251," " ))</f>
        <v>131.0325</v>
      </c>
      <c r="K36" s="14">
        <f t="array" ref="K36">STDEV(IF((Data!$F$2:$F$251=$A36)*(Data!$H$2:$H$251=$B36)*(Data!$K$2:$K$251=$C36)*(Data!$L$2:$L$251=$D36)*(Data!$M$2:$M$251=$E36),Data!$N$2:$N$251," " ))</f>
        <v>0.1803122292025664</v>
      </c>
      <c r="L36" s="14">
        <f t="shared" si="6"/>
        <v>0.23192249999999581</v>
      </c>
      <c r="M36" s="14">
        <f t="shared" si="7"/>
        <v>2.6206499999999999</v>
      </c>
      <c r="N36" s="14">
        <f t="shared" si="8"/>
        <v>6.5211025044868745</v>
      </c>
      <c r="O36" s="14">
        <f t="array" ref="O36">AVERAGE(IF((Data!$F$2:$F$251=$A36)*(Data!$H$2:$H$251=$B36)*(Data!$K$2:$K$251=$C36)*(Data!$L$2:$L$251=$D36)*(Data!$M$2:$M$251=$E36),Data!$O$2:$O$251," " ))</f>
        <v>60.226500000000001</v>
      </c>
      <c r="P36" s="14">
        <f t="array" ref="P36">STDEV(IF((Data!$F$2:$F$251=$A36)*(Data!$H$2:$H$251=$B36)*(Data!$K$2:$K$251=$C36)*(Data!$L$2:$L$251=$D36)*(Data!$M$2:$M$251=$E36),Data!$O$2:$O$251," " ))</f>
        <v>8.9802561210693271E-2</v>
      </c>
      <c r="Q36" s="14">
        <f t="shared" si="9"/>
        <v>0.11550650000000223</v>
      </c>
      <c r="R36" s="14">
        <f t="shared" si="10"/>
        <v>3.0113250000000003</v>
      </c>
      <c r="S36" s="14">
        <f t="shared" si="11"/>
        <v>7.1529071033160365</v>
      </c>
      <c r="T36" s="1"/>
      <c r="U36" s="1"/>
      <c r="V36" s="1"/>
      <c r="W36" s="1"/>
      <c r="X36" s="1"/>
      <c r="Y36" s="1"/>
    </row>
    <row r="37" spans="1:25" x14ac:dyDescent="0.25">
      <c r="A37" s="1" t="s">
        <v>48</v>
      </c>
      <c r="B37" s="1" t="s">
        <v>285</v>
      </c>
      <c r="C37" s="9">
        <v>111.76346334762462</v>
      </c>
      <c r="D37" s="6">
        <v>195</v>
      </c>
      <c r="E37" s="6">
        <v>800</v>
      </c>
      <c r="F37" s="1">
        <f t="array" ref="F37">COUNT(IF((Data!$F$2:$F$251=$A37)*(Data!$H$2:$H$251=$B37)*(Data!$K$2:$K$251=$C37)*(Data!$L$2:$L$251=$D37)*(Data!$M$2:$M$251=$E37),Data!$N$2:$N$251," " ))</f>
        <v>2</v>
      </c>
      <c r="G37" s="16">
        <v>1.819</v>
      </c>
      <c r="H37" s="14">
        <v>0.5</v>
      </c>
      <c r="I37" s="14">
        <f>2*Data!D37</f>
        <v>1.86</v>
      </c>
      <c r="J37" s="14">
        <f t="array" ref="J37">AVERAGE(IF((Data!$F$2:$F$251=$A37)*(Data!$H$2:$H$251=$B37)*(Data!$K$2:$K$251=$C37)*(Data!$L$2:$L$251=$D37)*(Data!$M$2:$M$251=$E37),Data!$N$2:$N$251," " ))</f>
        <v>121.1545</v>
      </c>
      <c r="K37" s="14">
        <f t="array" ref="K37">STDEV(IF((Data!$F$2:$F$251=$A37)*(Data!$H$2:$H$251=$B37)*(Data!$K$2:$K$251=$C37)*(Data!$L$2:$L$251=$D37)*(Data!$M$2:$M$251=$E37),Data!$N$2:$N$251," " ))</f>
        <v>2.4331544340629119</v>
      </c>
      <c r="L37" s="14">
        <f t="shared" si="6"/>
        <v>3.1295895000000025</v>
      </c>
      <c r="M37" s="14">
        <f t="shared" si="7"/>
        <v>2.4230900000000002</v>
      </c>
      <c r="N37" s="14">
        <f t="shared" si="8"/>
        <v>8.8034755833387219</v>
      </c>
      <c r="O37" s="14">
        <f t="array" ref="O37">AVERAGE(IF((Data!$F$2:$F$251=$A37)*(Data!$H$2:$H$251=$B37)*(Data!$K$2:$K$251=$C37)*(Data!$L$2:$L$251=$D37)*(Data!$M$2:$M$251=$E37),Data!$O$2:$O$251," " ))</f>
        <v>72.144999999999996</v>
      </c>
      <c r="P37" s="14">
        <f t="array" ref="P37">STDEV(IF((Data!$F$2:$F$251=$A37)*(Data!$H$2:$H$251=$B37)*(Data!$K$2:$K$251=$C37)*(Data!$L$2:$L$251=$D37)*(Data!$M$2:$M$251=$E37),Data!$O$2:$O$251," " ))</f>
        <v>0</v>
      </c>
      <c r="Q37" s="14">
        <f t="shared" si="9"/>
        <v>0</v>
      </c>
      <c r="R37" s="14">
        <f t="shared" si="10"/>
        <v>3.6072500000000001</v>
      </c>
      <c r="S37" s="14">
        <f t="shared" si="11"/>
        <v>8.1784723665242041</v>
      </c>
      <c r="T37" s="1"/>
      <c r="U37" s="1"/>
      <c r="V37" s="1"/>
      <c r="W37" s="1"/>
      <c r="X37" s="1"/>
      <c r="Y37" s="1"/>
    </row>
    <row r="38" spans="1:25" x14ac:dyDescent="0.25">
      <c r="A38" s="1" t="s">
        <v>48</v>
      </c>
      <c r="B38" s="1" t="s">
        <v>285</v>
      </c>
      <c r="C38" s="9">
        <v>114.93117004758945</v>
      </c>
      <c r="D38" s="6">
        <v>195</v>
      </c>
      <c r="E38" s="6">
        <v>800</v>
      </c>
      <c r="F38" s="1">
        <f t="array" ref="F38">COUNT(IF((Data!$F$2:$F$251=$A38)*(Data!$H$2:$H$251=$B38)*(Data!$K$2:$K$251=$C38)*(Data!$L$2:$L$251=$D38)*(Data!$M$2:$M$251=$E38),Data!$N$2:$N$251," " ))</f>
        <v>2</v>
      </c>
      <c r="G38" s="16">
        <v>1.819</v>
      </c>
      <c r="H38" s="14">
        <v>0.5</v>
      </c>
      <c r="I38" s="14">
        <f>2*Data!D38</f>
        <v>1.86</v>
      </c>
      <c r="J38" s="14">
        <f t="array" ref="J38">AVERAGE(IF((Data!$F$2:$F$251=$A38)*(Data!$H$2:$H$251=$B38)*(Data!$K$2:$K$251=$C38)*(Data!$L$2:$L$251=$D38)*(Data!$M$2:$M$251=$E38),Data!$N$2:$N$251," " ))</f>
        <v>127.1455</v>
      </c>
      <c r="K38" s="14">
        <f t="array" ref="K38">STDEV(IF((Data!$F$2:$F$251=$A38)*(Data!$H$2:$H$251=$B38)*(Data!$K$2:$K$251=$C38)*(Data!$L$2:$L$251=$D38)*(Data!$M$2:$M$251=$E38),Data!$N$2:$N$251," " ))</f>
        <v>0.45042701961583109</v>
      </c>
      <c r="L38" s="14">
        <f t="shared" si="6"/>
        <v>0.57935150000000035</v>
      </c>
      <c r="M38" s="14">
        <f t="shared" si="7"/>
        <v>2.54291</v>
      </c>
      <c r="N38" s="14">
        <f t="shared" si="8"/>
        <v>6.4843317091747394</v>
      </c>
      <c r="O38" s="14">
        <f t="array" ref="O38">AVERAGE(IF((Data!$F$2:$F$251=$A38)*(Data!$H$2:$H$251=$B38)*(Data!$K$2:$K$251=$C38)*(Data!$L$2:$L$251=$D38)*(Data!$M$2:$M$251=$E38),Data!$O$2:$O$251," " ))</f>
        <v>68.129500000000007</v>
      </c>
      <c r="P38" s="14">
        <f t="array" ref="P38">STDEV(IF((Data!$F$2:$F$251=$A38)*(Data!$H$2:$H$251=$B38)*(Data!$K$2:$K$251=$C38)*(Data!$L$2:$L$251=$D38)*(Data!$M$2:$M$251=$E38),Data!$O$2:$O$251," " ))</f>
        <v>1.7119055172526363</v>
      </c>
      <c r="Q38" s="14">
        <f t="shared" si="9"/>
        <v>2.2018995000000059</v>
      </c>
      <c r="R38" s="14">
        <f t="shared" si="10"/>
        <v>3.4064750000000004</v>
      </c>
      <c r="S38" s="14">
        <f t="shared" si="11"/>
        <v>8.9804305762530738</v>
      </c>
      <c r="T38" s="1"/>
      <c r="U38" s="1"/>
      <c r="V38" s="1"/>
      <c r="W38" s="1"/>
      <c r="X38" s="1"/>
      <c r="Y38" s="1"/>
    </row>
    <row r="39" spans="1:25" x14ac:dyDescent="0.25">
      <c r="A39" s="1" t="s">
        <v>48</v>
      </c>
      <c r="B39" s="1" t="s">
        <v>285</v>
      </c>
      <c r="C39" s="9">
        <v>117.32434685899824</v>
      </c>
      <c r="D39" s="6">
        <v>179.2</v>
      </c>
      <c r="E39" s="6">
        <v>800</v>
      </c>
      <c r="F39" s="1">
        <f t="array" ref="F39">COUNT(IF((Data!$F$2:$F$251=$A39)*(Data!$H$2:$H$251=$B39)*(Data!$K$2:$K$251=$C39)*(Data!$L$2:$L$251=$D39)*(Data!$M$2:$M$251=$E39),Data!$N$2:$N$251," " ))</f>
        <v>2</v>
      </c>
      <c r="G39" s="16">
        <v>1.819</v>
      </c>
      <c r="H39" s="14">
        <v>0.5</v>
      </c>
      <c r="I39" s="14">
        <f>2*Data!D39</f>
        <v>1.86</v>
      </c>
      <c r="J39" s="14">
        <f t="array" ref="J39">AVERAGE(IF((Data!$F$2:$F$251=$A39)*(Data!$H$2:$H$251=$B39)*(Data!$K$2:$K$251=$C39)*(Data!$L$2:$L$251=$D39)*(Data!$M$2:$M$251=$E39),Data!$N$2:$N$251," " ))</f>
        <v>122.49250000000001</v>
      </c>
      <c r="K39" s="14">
        <f t="array" ref="K39">STDEV(IF((Data!$F$2:$F$251=$A39)*(Data!$H$2:$H$251=$B39)*(Data!$K$2:$K$251=$C39)*(Data!$L$2:$L$251=$D39)*(Data!$M$2:$M$251=$E39),Data!$N$2:$N$251," " ))</f>
        <v>0.5409366876077093</v>
      </c>
      <c r="L39" s="14">
        <f t="shared" si="6"/>
        <v>0.69576750000000054</v>
      </c>
      <c r="M39" s="14">
        <f t="shared" si="7"/>
        <v>2.4498500000000001</v>
      </c>
      <c r="N39" s="14">
        <f t="shared" si="8"/>
        <v>6.3860652788884806</v>
      </c>
      <c r="O39" s="14">
        <f t="array" ref="O39">AVERAGE(IF((Data!$F$2:$F$251=$A39)*(Data!$H$2:$H$251=$B39)*(Data!$K$2:$K$251=$C39)*(Data!$L$2:$L$251=$D39)*(Data!$M$2:$M$251=$E39),Data!$O$2:$O$251," " ))</f>
        <v>43.274000000000001</v>
      </c>
      <c r="P39" s="14">
        <f t="array" ref="P39">STDEV(IF((Data!$F$2:$F$251=$A39)*(Data!$H$2:$H$251=$B39)*(Data!$K$2:$K$251=$C39)*(Data!$L$2:$L$251=$D39)*(Data!$M$2:$M$251=$E39),Data!$O$2:$O$251," " ))</f>
        <v>9.0509667991878165E-2</v>
      </c>
      <c r="Q39" s="14">
        <f t="shared" si="9"/>
        <v>0.1164160000000001</v>
      </c>
      <c r="R39" s="14">
        <f t="shared" si="10"/>
        <v>2.1637</v>
      </c>
      <c r="S39" s="14">
        <f t="shared" si="11"/>
        <v>5.7981895019241998</v>
      </c>
      <c r="T39" s="1"/>
      <c r="U39" s="1"/>
      <c r="V39" s="1"/>
      <c r="W39" s="1"/>
      <c r="X39" s="1"/>
      <c r="Y39" s="1"/>
    </row>
    <row r="40" spans="1:25" x14ac:dyDescent="0.25">
      <c r="A40" s="1" t="s">
        <v>48</v>
      </c>
      <c r="B40" s="1" t="s">
        <v>285</v>
      </c>
      <c r="C40" s="9">
        <v>117.32434685899824</v>
      </c>
      <c r="D40" s="6">
        <v>195</v>
      </c>
      <c r="E40" s="6">
        <v>800</v>
      </c>
      <c r="F40" s="1">
        <f t="array" ref="F40">COUNT(IF((Data!$F$2:$F$251=$A40)*(Data!$H$2:$H$251=$B40)*(Data!$K$2:$K$251=$C40)*(Data!$L$2:$L$251=$D40)*(Data!$M$2:$M$251=$E40),Data!$N$2:$N$251," " ))</f>
        <v>2</v>
      </c>
      <c r="G40" s="16">
        <v>1.819</v>
      </c>
      <c r="H40" s="14">
        <v>0.5</v>
      </c>
      <c r="I40" s="14">
        <f>2*Data!D40</f>
        <v>1.86</v>
      </c>
      <c r="J40" s="14">
        <f t="array" ref="J40">AVERAGE(IF((Data!$F$2:$F$251=$A40)*(Data!$H$2:$H$251=$B40)*(Data!$K$2:$K$251=$C40)*(Data!$L$2:$L$251=$D40)*(Data!$M$2:$M$251=$E40),Data!$N$2:$N$251," " ))</f>
        <v>125.297</v>
      </c>
      <c r="K40" s="14">
        <f t="array" ref="K40">STDEV(IF((Data!$F$2:$F$251=$A40)*(Data!$H$2:$H$251=$B40)*(Data!$K$2:$K$251=$C40)*(Data!$L$2:$L$251=$D40)*(Data!$M$2:$M$251=$E40),Data!$N$2:$N$251," " ))</f>
        <v>0.90085403923166218</v>
      </c>
      <c r="L40" s="14">
        <f t="shared" si="6"/>
        <v>1.1587030000000007</v>
      </c>
      <c r="M40" s="14">
        <f t="shared" si="7"/>
        <v>2.5059399999999998</v>
      </c>
      <c r="N40" s="14">
        <f t="shared" si="8"/>
        <v>6.7325858110562544</v>
      </c>
      <c r="O40" s="14">
        <f t="array" ref="O40">AVERAGE(IF((Data!$F$2:$F$251=$A40)*(Data!$H$2:$H$251=$B40)*(Data!$K$2:$K$251=$C40)*(Data!$L$2:$L$251=$D40)*(Data!$M$2:$M$251=$E40),Data!$O$2:$O$251," " ))</f>
        <v>41.4255</v>
      </c>
      <c r="P40" s="14">
        <f t="array" ref="P40">STDEV(IF((Data!$F$2:$F$251=$A40)*(Data!$H$2:$H$251=$B40)*(Data!$K$2:$K$251=$C40)*(Data!$L$2:$L$251=$D40)*(Data!$M$2:$M$251=$E40),Data!$O$2:$O$251," " ))</f>
        <v>0.5409366876077093</v>
      </c>
      <c r="Q40" s="14">
        <f t="shared" si="9"/>
        <v>0.69576750000000054</v>
      </c>
      <c r="R40" s="14">
        <f t="shared" si="10"/>
        <v>2.071275</v>
      </c>
      <c r="S40" s="14">
        <f t="shared" si="11"/>
        <v>5.8254175952222518</v>
      </c>
      <c r="T40" s="1"/>
      <c r="U40" s="1"/>
      <c r="V40" s="1"/>
      <c r="W40" s="1"/>
      <c r="X40" s="1"/>
      <c r="Y40" s="1"/>
    </row>
    <row r="41" spans="1:25" x14ac:dyDescent="0.25">
      <c r="A41" s="1" t="s">
        <v>48</v>
      </c>
      <c r="B41" s="1" t="s">
        <v>285</v>
      </c>
      <c r="C41" s="9">
        <v>118.17533425903757</v>
      </c>
      <c r="D41" s="6">
        <v>195</v>
      </c>
      <c r="E41" s="6">
        <v>800</v>
      </c>
      <c r="F41" s="1">
        <f t="array" ref="F41">COUNT(IF((Data!$F$2:$F$251=$A41)*(Data!$H$2:$H$251=$B41)*(Data!$K$2:$K$251=$C41)*(Data!$L$2:$L$251=$D41)*(Data!$M$2:$M$251=$E41),Data!$N$2:$N$251," " ))</f>
        <v>2</v>
      </c>
      <c r="G41" s="16">
        <v>1.819</v>
      </c>
      <c r="H41" s="14">
        <v>0.5</v>
      </c>
      <c r="I41" s="14">
        <f>2*Data!D41</f>
        <v>1.86</v>
      </c>
      <c r="J41" s="14">
        <f t="array" ref="J41">AVERAGE(IF((Data!$F$2:$F$251=$A41)*(Data!$H$2:$H$251=$B41)*(Data!$K$2:$K$251=$C41)*(Data!$L$2:$L$251=$D41)*(Data!$M$2:$M$251=$E41),Data!$N$2:$N$251," " ))</f>
        <v>120.5805</v>
      </c>
      <c r="K41" s="14">
        <f t="array" ref="K41">STDEV(IF((Data!$F$2:$F$251=$A41)*(Data!$H$2:$H$251=$B41)*(Data!$K$2:$K$251=$C41)*(Data!$L$2:$L$251=$D41)*(Data!$M$2:$M$251=$E41),Data!$N$2:$N$251," " ))</f>
        <v>1.8024151852445143</v>
      </c>
      <c r="L41" s="14">
        <f t="shared" si="6"/>
        <v>2.3183155000000055</v>
      </c>
      <c r="M41" s="14">
        <f t="shared" si="7"/>
        <v>2.41161</v>
      </c>
      <c r="N41" s="14">
        <f t="shared" si="8"/>
        <v>7.7201164627589076</v>
      </c>
      <c r="O41" s="14">
        <f t="array" ref="O41">AVERAGE(IF((Data!$F$2:$F$251=$A41)*(Data!$H$2:$H$251=$B41)*(Data!$K$2:$K$251=$C41)*(Data!$L$2:$L$251=$D41)*(Data!$M$2:$M$251=$E41),Data!$O$2:$O$251," " ))</f>
        <v>58.887999999999998</v>
      </c>
      <c r="P41" s="14">
        <f t="array" ref="P41">STDEV(IF((Data!$F$2:$F$251=$A41)*(Data!$H$2:$H$251=$B41)*(Data!$K$2:$K$251=$C41)*(Data!$L$2:$L$251=$D41)*(Data!$M$2:$M$251=$E41),Data!$O$2:$O$251," " ))</f>
        <v>2.7039763312573566</v>
      </c>
      <c r="Q41" s="14">
        <f t="shared" si="9"/>
        <v>3.4779279999999981</v>
      </c>
      <c r="R41" s="14">
        <f t="shared" si="10"/>
        <v>2.9443999999999999</v>
      </c>
      <c r="S41" s="14">
        <f t="shared" si="11"/>
        <v>9.8944579504253767</v>
      </c>
      <c r="T41" s="1"/>
      <c r="U41" s="1"/>
      <c r="V41" s="1"/>
      <c r="W41" s="1"/>
      <c r="X41" s="1"/>
      <c r="Y41" s="1"/>
    </row>
    <row r="42" spans="1:25" x14ac:dyDescent="0.25">
      <c r="A42" s="1" t="s">
        <v>48</v>
      </c>
      <c r="B42" s="1" t="s">
        <v>285</v>
      </c>
      <c r="C42" s="9">
        <v>122.22199999999999</v>
      </c>
      <c r="D42" s="6">
        <v>195</v>
      </c>
      <c r="E42" s="6">
        <v>800</v>
      </c>
      <c r="F42" s="1">
        <f t="array" ref="F42">COUNT(IF((Data!$F$2:$F$251=$A42)*(Data!$H$2:$H$251=$B42)*(Data!$K$2:$K$251=$C42)*(Data!$L$2:$L$251=$D42)*(Data!$M$2:$M$251=$E42),Data!$N$2:$N$251," " ))</f>
        <v>2</v>
      </c>
      <c r="G42" s="16">
        <v>1.819</v>
      </c>
      <c r="H42" s="14">
        <v>0.5</v>
      </c>
      <c r="I42" s="14">
        <f>2*Data!D42</f>
        <v>1.86</v>
      </c>
      <c r="J42" s="14">
        <f t="array" ref="J42">AVERAGE(IF((Data!$F$2:$F$251=$A42)*(Data!$H$2:$H$251=$B42)*(Data!$K$2:$K$251=$C42)*(Data!$L$2:$L$251=$D42)*(Data!$M$2:$M$251=$E42),Data!$N$2:$N$251," " ))</f>
        <v>121.792</v>
      </c>
      <c r="K42" s="14">
        <f t="array" ref="K42">STDEV(IF((Data!$F$2:$F$251=$A42)*(Data!$H$2:$H$251=$B42)*(Data!$K$2:$K$251=$C42)*(Data!$L$2:$L$251=$D42)*(Data!$M$2:$M$251=$E42),Data!$N$2:$N$251," " ))</f>
        <v>0.63073924881839749</v>
      </c>
      <c r="L42" s="14">
        <f t="shared" si="6"/>
        <v>0.81127399999999628</v>
      </c>
      <c r="M42" s="14">
        <f t="shared" si="7"/>
        <v>2.4358400000000002</v>
      </c>
      <c r="N42" s="14">
        <f t="shared" si="8"/>
        <v>6.419059746933657</v>
      </c>
      <c r="O42" s="14">
        <f t="array" ref="O42">AVERAGE(IF((Data!$F$2:$F$251=$A42)*(Data!$H$2:$H$251=$B42)*(Data!$K$2:$K$251=$C42)*(Data!$L$2:$L$251=$D42)*(Data!$M$2:$M$251=$E42),Data!$O$2:$O$251," " ))</f>
        <v>72.144499999999994</v>
      </c>
      <c r="P42" s="14">
        <f t="array" ref="P42">STDEV(IF((Data!$F$2:$F$251=$A42)*(Data!$H$2:$H$251=$B42)*(Data!$K$2:$K$251=$C42)*(Data!$L$2:$L$251=$D42)*(Data!$M$2:$M$251=$E42),Data!$O$2:$O$251," " ))</f>
        <v>1.2621856044179949</v>
      </c>
      <c r="Q42" s="14">
        <f t="shared" si="9"/>
        <v>1.6234575000000093</v>
      </c>
      <c r="R42" s="14">
        <f t="shared" si="10"/>
        <v>3.6072249999999997</v>
      </c>
      <c r="S42" s="14">
        <f t="shared" si="11"/>
        <v>8.7993832636000757</v>
      </c>
      <c r="T42" s="1"/>
      <c r="U42" s="1"/>
      <c r="V42" s="1"/>
      <c r="W42" s="1"/>
      <c r="X42" s="1"/>
      <c r="Y42" s="1"/>
    </row>
    <row r="43" spans="1:25" x14ac:dyDescent="0.25">
      <c r="A43" s="1" t="s">
        <v>48</v>
      </c>
      <c r="B43" s="1" t="s">
        <v>285</v>
      </c>
      <c r="C43" s="9">
        <v>124.86906019393147</v>
      </c>
      <c r="D43" s="6">
        <v>195</v>
      </c>
      <c r="E43" s="6">
        <v>800</v>
      </c>
      <c r="F43" s="1">
        <f t="array" ref="F43">COUNT(IF((Data!$F$2:$F$251=$A43)*(Data!$H$2:$H$251=$B43)*(Data!$K$2:$K$251=$C43)*(Data!$L$2:$L$251=$D43)*(Data!$M$2:$M$251=$E43),Data!$N$2:$N$251," " ))</f>
        <v>2</v>
      </c>
      <c r="G43" s="16">
        <v>1.819</v>
      </c>
      <c r="H43" s="14">
        <v>0.5</v>
      </c>
      <c r="I43" s="14">
        <f>2*Data!D43</f>
        <v>1.86</v>
      </c>
      <c r="J43" s="14">
        <f t="array" ref="J43">AVERAGE(IF((Data!$F$2:$F$251=$A43)*(Data!$H$2:$H$251=$B43)*(Data!$K$2:$K$251=$C43)*(Data!$L$2:$L$251=$D43)*(Data!$M$2:$M$251=$E43),Data!$N$2:$N$251," " ))</f>
        <v>123.38499999999999</v>
      </c>
      <c r="K43" s="14">
        <f t="array" ref="K43">STDEV(IF((Data!$F$2:$F$251=$A43)*(Data!$H$2:$H$251=$B43)*(Data!$K$2:$K$251=$C43)*(Data!$L$2:$L$251=$D43)*(Data!$M$2:$M$251=$E43),Data!$N$2:$N$251," " ))</f>
        <v>4.6867037457044374</v>
      </c>
      <c r="L43" s="14">
        <f t="shared" si="6"/>
        <v>6.0281660000000006</v>
      </c>
      <c r="M43" s="14">
        <f t="shared" si="7"/>
        <v>2.4676999999999998</v>
      </c>
      <c r="N43" s="14">
        <f t="shared" si="8"/>
        <v>13.584981209196576</v>
      </c>
      <c r="O43" s="14">
        <f t="array" ref="O43">AVERAGE(IF((Data!$F$2:$F$251=$A43)*(Data!$H$2:$H$251=$B43)*(Data!$K$2:$K$251=$C43)*(Data!$L$2:$L$251=$D43)*(Data!$M$2:$M$251=$E43),Data!$O$2:$O$251," " ))</f>
        <v>50.029499999999999</v>
      </c>
      <c r="P43" s="14">
        <f t="array" ref="P43">STDEV(IF((Data!$F$2:$F$251=$A43)*(Data!$H$2:$H$251=$B43)*(Data!$K$2:$K$251=$C43)*(Data!$L$2:$L$251=$D43)*(Data!$M$2:$M$251=$E43),Data!$O$2:$O$251," " ))</f>
        <v>0.63144635559958739</v>
      </c>
      <c r="Q43" s="14">
        <f t="shared" si="9"/>
        <v>0.81218350000000039</v>
      </c>
      <c r="R43" s="14">
        <f t="shared" si="10"/>
        <v>2.5014750000000001</v>
      </c>
      <c r="S43" s="14">
        <f t="shared" si="11"/>
        <v>6.5196991382416574</v>
      </c>
      <c r="T43" s="1"/>
      <c r="U43" s="1"/>
      <c r="V43" s="1"/>
      <c r="W43" s="1"/>
      <c r="X43" s="1"/>
      <c r="Y43" s="1"/>
    </row>
    <row r="44" spans="1:25" x14ac:dyDescent="0.25">
      <c r="A44" s="1" t="s">
        <v>48</v>
      </c>
      <c r="B44" s="1" t="s">
        <v>285</v>
      </c>
      <c r="C44" s="10">
        <v>144.44399999999999</v>
      </c>
      <c r="D44" s="1">
        <v>195</v>
      </c>
      <c r="E44" s="1">
        <v>800</v>
      </c>
      <c r="F44" s="1">
        <f t="array" ref="F44">COUNT(IF((Data!$F$2:$F$251=$A44)*(Data!$H$2:$H$251=$B44)*(Data!$K$2:$K$251=$C44)*(Data!$L$2:$L$251=$D44)*(Data!$M$2:$M$251=$E44),Data!$N$2:$N$251," " ))</f>
        <v>2</v>
      </c>
      <c r="G44" s="16">
        <v>1.819</v>
      </c>
      <c r="H44" s="14">
        <v>0.5</v>
      </c>
      <c r="I44" s="14">
        <f>2*Data!D44</f>
        <v>1.86</v>
      </c>
      <c r="J44" s="14">
        <f t="array" ref="J44">AVERAGE(IF((Data!$F$2:$F$251=$A44)*(Data!$H$2:$H$251=$B44)*(Data!$K$2:$K$251=$C44)*(Data!$L$2:$L$251=$D44)*(Data!$M$2:$M$251=$E44),Data!$N$2:$N$251," " ))</f>
        <v>122.5565</v>
      </c>
      <c r="K44" s="14">
        <f t="array" ref="K44">STDEV(IF((Data!$F$2:$F$251=$A44)*(Data!$H$2:$H$251=$B44)*(Data!$K$2:$K$251=$C44)*(Data!$L$2:$L$251=$D44)*(Data!$M$2:$M$251=$E44),Data!$N$2:$N$251," " ))</f>
        <v>1.8929248532363825</v>
      </c>
      <c r="L44" s="14">
        <f t="shared" si="6"/>
        <v>2.4347314999999932</v>
      </c>
      <c r="M44" s="14">
        <f t="shared" si="7"/>
        <v>2.45113</v>
      </c>
      <c r="N44" s="14">
        <f t="shared" si="8"/>
        <v>7.9108926813583347</v>
      </c>
      <c r="O44" s="14">
        <f t="array" ref="O44">AVERAGE(IF((Data!$F$2:$F$251=$A44)*(Data!$H$2:$H$251=$B44)*(Data!$K$2:$K$251=$C44)*(Data!$L$2:$L$251=$D44)*(Data!$M$2:$M$251=$E44),Data!$O$2:$O$251," " ))</f>
        <v>47.926000000000002</v>
      </c>
      <c r="P44" s="14">
        <f t="array" ref="P44">STDEV(IF((Data!$F$2:$F$251=$A44)*(Data!$H$2:$H$251=$B44)*(Data!$K$2:$K$251=$C44)*(Data!$L$2:$L$251=$D44)*(Data!$M$2:$M$251=$E44),Data!$O$2:$O$251," " ))</f>
        <v>2.7039763312573566</v>
      </c>
      <c r="Q44" s="14">
        <f t="shared" si="9"/>
        <v>3.4779279999999981</v>
      </c>
      <c r="R44" s="14">
        <f t="shared" si="10"/>
        <v>2.3963000000000001</v>
      </c>
      <c r="S44" s="14">
        <f t="shared" si="11"/>
        <v>9.2839295264847816</v>
      </c>
      <c r="T44" s="1"/>
      <c r="U44" s="1"/>
      <c r="V44" s="1"/>
      <c r="W44" s="1"/>
      <c r="X44" s="1"/>
      <c r="Y44" s="1"/>
    </row>
    <row r="45" spans="1:25" x14ac:dyDescent="0.25">
      <c r="A45" s="1" t="s">
        <v>48</v>
      </c>
      <c r="B45" s="1" t="s">
        <v>285</v>
      </c>
      <c r="C45" s="9">
        <v>146.24673659730999</v>
      </c>
      <c r="D45" s="6">
        <v>195</v>
      </c>
      <c r="E45" s="6">
        <v>800</v>
      </c>
      <c r="F45" s="1">
        <f t="array" ref="F45">COUNT(IF((Data!$F$2:$F$251=$A45)*(Data!$H$2:$H$251=$B45)*(Data!$K$2:$K$251=$C45)*(Data!$L$2:$L$251=$D45)*(Data!$M$2:$M$251=$E45),Data!$N$2:$N$251," " ))</f>
        <v>4</v>
      </c>
      <c r="G45" s="16">
        <v>1.1978</v>
      </c>
      <c r="H45" s="14">
        <v>0.5</v>
      </c>
      <c r="I45" s="14">
        <f>2*Data!D45</f>
        <v>1.86</v>
      </c>
      <c r="J45" s="14">
        <f t="array" ref="J45">AVERAGE(IF((Data!$F$2:$F$251=$A45)*(Data!$H$2:$H$251=$B45)*(Data!$K$2:$K$251=$C45)*(Data!$L$2:$L$251=$D45)*(Data!$M$2:$M$251=$E45),Data!$N$2:$N$251," " ))</f>
        <v>136.95975000000001</v>
      </c>
      <c r="K45" s="14">
        <f t="array" ref="K45">STDEV(IF((Data!$F$2:$F$251=$A45)*(Data!$H$2:$H$251=$B45)*(Data!$K$2:$K$251=$C45)*(Data!$L$2:$L$251=$D45)*(Data!$M$2:$M$251=$E45),Data!$N$2:$N$251," " ))</f>
        <v>7.1601934971526182</v>
      </c>
      <c r="L45" s="14">
        <f t="shared" si="6"/>
        <v>4.2882398854447032</v>
      </c>
      <c r="M45" s="14">
        <f t="shared" si="7"/>
        <v>2.7391950000000005</v>
      </c>
      <c r="N45" s="14">
        <f t="shared" si="8"/>
        <v>10.881505514062621</v>
      </c>
      <c r="O45" s="14">
        <f t="array" ref="O45">AVERAGE(IF((Data!$F$2:$F$251=$A45)*(Data!$H$2:$H$251=$B45)*(Data!$K$2:$K$251=$C45)*(Data!$L$2:$L$251=$D45)*(Data!$M$2:$M$251=$E45),Data!$O$2:$O$251," " ))</f>
        <v>42.1905</v>
      </c>
      <c r="P45" s="14">
        <f t="array" ref="P45">STDEV(IF((Data!$F$2:$F$251=$A45)*(Data!$H$2:$H$251=$B45)*(Data!$K$2:$K$251=$C45)*(Data!$L$2:$L$251=$D45)*(Data!$M$2:$M$251=$E45),Data!$O$2:$O$251," " ))</f>
        <v>0.92506089889621212</v>
      </c>
      <c r="Q45" s="14">
        <f t="shared" si="9"/>
        <v>0.55401897234894149</v>
      </c>
      <c r="R45" s="14">
        <f t="shared" si="10"/>
        <v>2.1095250000000001</v>
      </c>
      <c r="S45" s="14">
        <f t="shared" si="11"/>
        <v>5.8194957676237138</v>
      </c>
      <c r="T45" s="1"/>
      <c r="U45" s="1"/>
      <c r="V45" s="1"/>
      <c r="W45" s="1"/>
      <c r="X45" s="1"/>
      <c r="Y45" s="1"/>
    </row>
    <row r="46" spans="1:25" x14ac:dyDescent="0.25">
      <c r="A46" s="1" t="s">
        <v>48</v>
      </c>
      <c r="B46" s="1" t="s">
        <v>285</v>
      </c>
      <c r="C46" s="9">
        <v>153.7046493982775</v>
      </c>
      <c r="D46" s="6">
        <v>179.2</v>
      </c>
      <c r="E46" s="6">
        <v>800</v>
      </c>
      <c r="F46" s="1">
        <f t="array" ref="F46">COUNT(IF((Data!$F$2:$F$251=$A46)*(Data!$H$2:$H$251=$B46)*(Data!$K$2:$K$251=$C46)*(Data!$L$2:$L$251=$D46)*(Data!$M$2:$M$251=$E46),Data!$N$2:$N$251," " ))</f>
        <v>2</v>
      </c>
      <c r="G46" s="16">
        <v>1.819</v>
      </c>
      <c r="H46" s="14">
        <v>0.5</v>
      </c>
      <c r="I46" s="14">
        <f>2*Data!D46</f>
        <v>1.86</v>
      </c>
      <c r="J46" s="14">
        <f t="array" ref="J46">AVERAGE(IF((Data!$F$2:$F$251=$A46)*(Data!$H$2:$H$251=$B46)*(Data!$K$2:$K$251=$C46)*(Data!$L$2:$L$251=$D46)*(Data!$M$2:$M$251=$E46),Data!$N$2:$N$251," " ))</f>
        <v>142.8235</v>
      </c>
      <c r="K46" s="14">
        <f t="array" ref="K46">STDEV(IF((Data!$F$2:$F$251=$A46)*(Data!$H$2:$H$251=$B46)*(Data!$K$2:$K$251=$C46)*(Data!$L$2:$L$251=$D46)*(Data!$M$2:$M$251=$E46),Data!$N$2:$N$251," " ))</f>
        <v>0.81105147802096389</v>
      </c>
      <c r="L46" s="14">
        <f t="shared" si="6"/>
        <v>1.0431964999999921</v>
      </c>
      <c r="M46" s="14">
        <f t="shared" si="7"/>
        <v>2.8564699999999998</v>
      </c>
      <c r="N46" s="14">
        <f t="shared" si="8"/>
        <v>7.199244348822238</v>
      </c>
      <c r="O46" s="14">
        <f t="array" ref="O46">AVERAGE(IF((Data!$F$2:$F$251=$A46)*(Data!$H$2:$H$251=$B46)*(Data!$K$2:$K$251=$C46)*(Data!$L$2:$L$251=$D46)*(Data!$M$2:$M$251=$E46),Data!$O$2:$O$251," " ))</f>
        <v>34.351500000000001</v>
      </c>
      <c r="P46" s="14">
        <f t="array" ref="P46">STDEV(IF((Data!$F$2:$F$251=$A46)*(Data!$H$2:$H$251=$B46)*(Data!$K$2:$K$251=$C46)*(Data!$L$2:$L$251=$D46)*(Data!$M$2:$M$251=$E46),Data!$O$2:$O$251," " ))</f>
        <v>2.0725299756577691</v>
      </c>
      <c r="Q46" s="14">
        <f t="shared" si="9"/>
        <v>2.6657444999999975</v>
      </c>
      <c r="R46" s="14">
        <f t="shared" si="10"/>
        <v>1.7175750000000001</v>
      </c>
      <c r="S46" s="14">
        <f t="shared" si="11"/>
        <v>7.4204737368729328</v>
      </c>
      <c r="T46" s="1"/>
      <c r="U46" s="1"/>
      <c r="V46" s="1"/>
      <c r="W46" s="1"/>
      <c r="X46" s="1"/>
      <c r="Y46" s="1"/>
    </row>
    <row r="47" spans="1:25" x14ac:dyDescent="0.25">
      <c r="A47" s="1" t="s">
        <v>48</v>
      </c>
      <c r="B47" s="1" t="s">
        <v>285</v>
      </c>
      <c r="C47" s="9">
        <v>153.7046493982775</v>
      </c>
      <c r="D47" s="6">
        <v>195</v>
      </c>
      <c r="E47" s="6">
        <v>800</v>
      </c>
      <c r="F47" s="1">
        <f t="array" ref="F47">COUNT(IF((Data!$F$2:$F$251=$A47)*(Data!$H$2:$H$251=$B47)*(Data!$K$2:$K$251=$C47)*(Data!$L$2:$L$251=$D47)*(Data!$M$2:$M$251=$E47),Data!$N$2:$N$251," " ))</f>
        <v>2</v>
      </c>
      <c r="G47" s="16">
        <v>1.819</v>
      </c>
      <c r="H47" s="14">
        <v>0.5</v>
      </c>
      <c r="I47" s="14">
        <f>2*Data!D47</f>
        <v>1.86</v>
      </c>
      <c r="J47" s="14">
        <f t="array" ref="J47">AVERAGE(IF((Data!$F$2:$F$251=$A47)*(Data!$H$2:$H$251=$B47)*(Data!$K$2:$K$251=$C47)*(Data!$L$2:$L$251=$D47)*(Data!$M$2:$M$251=$E47),Data!$N$2:$N$251," " ))</f>
        <v>143.58800000000002</v>
      </c>
      <c r="K47" s="14">
        <f t="array" ref="K47">STDEV(IF((Data!$F$2:$F$251=$A47)*(Data!$H$2:$H$251=$B47)*(Data!$K$2:$K$251=$C47)*(Data!$L$2:$L$251=$D47)*(Data!$M$2:$M$251=$E47),Data!$N$2:$N$251," " ))</f>
        <v>1.3519881656286832</v>
      </c>
      <c r="L47" s="14">
        <f t="shared" si="6"/>
        <v>1.7389640000000053</v>
      </c>
      <c r="M47" s="14">
        <f t="shared" si="7"/>
        <v>2.8717600000000005</v>
      </c>
      <c r="N47" s="14">
        <f t="shared" si="8"/>
        <v>7.7409563468336451</v>
      </c>
      <c r="O47" s="14">
        <f t="array" ref="O47">AVERAGE(IF((Data!$F$2:$F$251=$A47)*(Data!$H$2:$H$251=$B47)*(Data!$K$2:$K$251=$C47)*(Data!$L$2:$L$251=$D47)*(Data!$M$2:$M$251=$E47),Data!$O$2:$O$251," " ))</f>
        <v>34.605999999999995</v>
      </c>
      <c r="P47" s="14">
        <f t="array" ref="P47">STDEV(IF((Data!$F$2:$F$251=$A47)*(Data!$H$2:$H$251=$B47)*(Data!$K$2:$K$251=$C47)*(Data!$L$2:$L$251=$D47)*(Data!$M$2:$M$251=$E47),Data!$O$2:$O$251," " ))</f>
        <v>1.3519881656286783</v>
      </c>
      <c r="Q47" s="14">
        <f t="shared" si="9"/>
        <v>1.7389639999999991</v>
      </c>
      <c r="R47" s="14">
        <f t="shared" si="10"/>
        <v>1.7302999999999997</v>
      </c>
      <c r="S47" s="14">
        <f t="shared" si="11"/>
        <v>6.237798933372571</v>
      </c>
      <c r="T47" s="1"/>
      <c r="U47" s="1"/>
      <c r="V47" s="1"/>
      <c r="W47" s="1"/>
      <c r="X47" s="1"/>
      <c r="Y47" s="1"/>
    </row>
    <row r="48" spans="1:25" x14ac:dyDescent="0.25">
      <c r="A48" s="1" t="s">
        <v>48</v>
      </c>
      <c r="B48" s="1" t="s">
        <v>285</v>
      </c>
      <c r="C48" s="9">
        <v>166.666</v>
      </c>
      <c r="D48" s="6">
        <v>195</v>
      </c>
      <c r="E48" s="6">
        <v>800</v>
      </c>
      <c r="F48" s="1">
        <f t="array" ref="F48">COUNT(IF((Data!$F$2:$F$251=$A48)*(Data!$H$2:$H$251=$B48)*(Data!$K$2:$K$251=$C48)*(Data!$L$2:$L$251=$D48)*(Data!$M$2:$M$251=$E48),Data!$N$2:$N$251," " ))</f>
        <v>2</v>
      </c>
      <c r="G48" s="16">
        <v>1.819</v>
      </c>
      <c r="H48" s="14">
        <v>0.5</v>
      </c>
      <c r="I48" s="14">
        <f>2*Data!D48</f>
        <v>1.86</v>
      </c>
      <c r="J48" s="14">
        <f t="array" ref="J48">AVERAGE(IF((Data!$F$2:$F$251=$A48)*(Data!$H$2:$H$251=$B48)*(Data!$K$2:$K$251=$C48)*(Data!$L$2:$L$251=$D48)*(Data!$M$2:$M$251=$E48),Data!$N$2:$N$251," " ))</f>
        <v>134.79300000000001</v>
      </c>
      <c r="K48" s="14">
        <f t="array" ref="K48">STDEV(IF((Data!$F$2:$F$251=$A48)*(Data!$H$2:$H$251=$B48)*(Data!$K$2:$K$251=$C48)*(Data!$L$2:$L$251=$D48)*(Data!$M$2:$M$251=$E48),Data!$N$2:$N$251," " ))</f>
        <v>0.63073924881839749</v>
      </c>
      <c r="L48" s="14">
        <f t="shared" si="6"/>
        <v>0.81127399999999628</v>
      </c>
      <c r="M48" s="14">
        <f t="shared" si="7"/>
        <v>2.6958600000000001</v>
      </c>
      <c r="N48" s="14">
        <f t="shared" si="8"/>
        <v>6.8221482372273314</v>
      </c>
      <c r="O48" s="14">
        <f t="array" ref="O48">AVERAGE(IF((Data!$F$2:$F$251=$A48)*(Data!$H$2:$H$251=$B48)*(Data!$K$2:$K$251=$C48)*(Data!$L$2:$L$251=$D48)*(Data!$M$2:$M$251=$E48),Data!$O$2:$O$251," " ))</f>
        <v>43.656500000000001</v>
      </c>
      <c r="P48" s="14">
        <f t="array" ref="P48">STDEV(IF((Data!$F$2:$F$251=$A48)*(Data!$H$2:$H$251=$B48)*(Data!$K$2:$K$251=$C48)*(Data!$L$2:$L$251=$D48)*(Data!$M$2:$M$251=$E48),Data!$O$2:$O$251," " ))</f>
        <v>0.27082189719444455</v>
      </c>
      <c r="Q48" s="14">
        <f t="shared" si="9"/>
        <v>0.34833849999999594</v>
      </c>
      <c r="R48" s="14">
        <f t="shared" si="10"/>
        <v>2.1828250000000002</v>
      </c>
      <c r="S48" s="14">
        <f t="shared" si="11"/>
        <v>5.8636728050624551</v>
      </c>
      <c r="T48" s="1"/>
      <c r="U48" s="1"/>
      <c r="V48" s="1"/>
      <c r="W48" s="1"/>
      <c r="X48" s="1"/>
      <c r="Y48" s="1"/>
    </row>
    <row r="49" spans="1:25" x14ac:dyDescent="0.25">
      <c r="A49" s="1" t="s">
        <v>48</v>
      </c>
      <c r="B49" s="1" t="s">
        <v>285</v>
      </c>
      <c r="C49" s="10">
        <v>188.88800000000001</v>
      </c>
      <c r="D49" s="1">
        <v>195</v>
      </c>
      <c r="E49" s="1">
        <v>800</v>
      </c>
      <c r="F49" s="1">
        <f t="array" ref="F49">COUNT(IF((Data!$F$2:$F$251=$A49)*(Data!$H$2:$H$251=$B49)*(Data!$K$2:$K$251=$C49)*(Data!$L$2:$L$251=$D49)*(Data!$M$2:$M$251=$E49),Data!$N$2:$N$251," " ))</f>
        <v>8</v>
      </c>
      <c r="G49" s="16">
        <v>1.0703</v>
      </c>
      <c r="H49" s="14">
        <v>0.5</v>
      </c>
      <c r="I49" s="14">
        <f>2*Data!D49</f>
        <v>1.86</v>
      </c>
      <c r="J49" s="14">
        <f t="array" ref="J49">AVERAGE(IF((Data!$F$2:$F$251=$A49)*(Data!$H$2:$H$251=$B49)*(Data!$K$2:$K$251=$C49)*(Data!$L$2:$L$251=$D49)*(Data!$M$2:$M$251=$E49),Data!$N$2:$N$251," " ))</f>
        <v>149.97825</v>
      </c>
      <c r="K49" s="14">
        <f t="array" ref="K49">STDEV(IF((Data!$F$2:$F$251=$A49)*(Data!$H$2:$H$251=$B49)*(Data!$K$2:$K$251=$C49)*(Data!$L$2:$L$251=$D49)*(Data!$M$2:$M$251=$E49),Data!$N$2:$N$251," " ))</f>
        <v>5.8389749528491768</v>
      </c>
      <c r="L49" s="14">
        <f t="shared" si="6"/>
        <v>2.2095159664385098</v>
      </c>
      <c r="M49" s="14">
        <f t="shared" si="7"/>
        <v>2.999565</v>
      </c>
      <c r="N49" s="14">
        <f t="shared" si="8"/>
        <v>8.3878366686939483</v>
      </c>
      <c r="O49" s="14">
        <f t="array" ref="O49">AVERAGE(IF((Data!$F$2:$F$251=$A49)*(Data!$H$2:$H$251=$B49)*(Data!$K$2:$K$251=$C49)*(Data!$L$2:$L$251=$D49)*(Data!$M$2:$M$251=$E49),Data!$O$2:$O$251," " ))</f>
        <v>38.234500000000004</v>
      </c>
      <c r="P49" s="14">
        <f t="array" ref="P49">STDEV(IF((Data!$F$2:$F$251=$A49)*(Data!$H$2:$H$251=$B49)*(Data!$K$2:$K$251=$C49)*(Data!$L$2:$L$251=$D49)*(Data!$M$2:$M$251=$E49),Data!$O$2:$O$251," " ))</f>
        <v>1.2006165082989639</v>
      </c>
      <c r="Q49" s="14">
        <f t="shared" si="9"/>
        <v>0.45432312453434442</v>
      </c>
      <c r="R49" s="14">
        <f t="shared" si="10"/>
        <v>1.9117250000000003</v>
      </c>
      <c r="S49" s="14">
        <f t="shared" si="11"/>
        <v>5.5029817288854055</v>
      </c>
      <c r="T49" s="1"/>
      <c r="U49" s="1"/>
      <c r="V49" s="1"/>
      <c r="W49" s="1"/>
      <c r="X49" s="1"/>
      <c r="Y49" s="1"/>
    </row>
    <row r="50" spans="1:25" x14ac:dyDescent="0.25">
      <c r="A50" s="1" t="s">
        <v>48</v>
      </c>
      <c r="B50" s="1" t="s">
        <v>285</v>
      </c>
      <c r="C50" s="9">
        <v>188.88800000000003</v>
      </c>
      <c r="D50" s="6">
        <v>179.2</v>
      </c>
      <c r="E50" s="6">
        <v>800</v>
      </c>
      <c r="F50" s="1">
        <f t="array" ref="F50">COUNT(IF((Data!$F$2:$F$251=$A50)*(Data!$H$2:$H$251=$B50)*(Data!$K$2:$K$251=$C50)*(Data!$L$2:$L$251=$D50)*(Data!$M$2:$M$251=$E50),Data!$N$2:$N$251," " ))</f>
        <v>2</v>
      </c>
      <c r="G50" s="16">
        <v>1.819</v>
      </c>
      <c r="H50" s="14">
        <v>0.5</v>
      </c>
      <c r="I50" s="14">
        <f>2*Data!D50</f>
        <v>1.86</v>
      </c>
      <c r="J50" s="14">
        <f t="array" ref="J50">AVERAGE(IF((Data!$F$2:$F$251=$A50)*(Data!$H$2:$H$251=$B50)*(Data!$K$2:$K$251=$C50)*(Data!$L$2:$L$251=$D50)*(Data!$M$2:$M$251=$E50),Data!$N$2:$N$251," " ))</f>
        <v>142.3775</v>
      </c>
      <c r="K50" s="14">
        <f t="array" ref="K50">STDEV(IF((Data!$F$2:$F$251=$A50)*(Data!$H$2:$H$251=$B50)*(Data!$K$2:$K$251=$C50)*(Data!$L$2:$L$251=$D50)*(Data!$M$2:$M$251=$E50),Data!$N$2:$N$251," " ))</f>
        <v>0.1803122292025664</v>
      </c>
      <c r="L50" s="14">
        <f t="shared" si="6"/>
        <v>0.23192249999999581</v>
      </c>
      <c r="M50" s="14">
        <f t="shared" si="7"/>
        <v>2.84755</v>
      </c>
      <c r="N50" s="14">
        <f t="shared" si="8"/>
        <v>6.891133157473087</v>
      </c>
      <c r="O50" s="14">
        <f t="array" ref="O50">AVERAGE(IF((Data!$F$2:$F$251=$A50)*(Data!$H$2:$H$251=$B50)*(Data!$K$2:$K$251=$C50)*(Data!$L$2:$L$251=$D50)*(Data!$M$2:$M$251=$E50),Data!$O$2:$O$251," " ))</f>
        <v>35.307500000000005</v>
      </c>
      <c r="P50" s="14">
        <f t="array" ref="P50">STDEV(IF((Data!$F$2:$F$251=$A50)*(Data!$H$2:$H$251=$B50)*(Data!$K$2:$K$251=$C50)*(Data!$L$2:$L$251=$D50)*(Data!$M$2:$M$251=$E50),Data!$O$2:$O$251," " ))</f>
        <v>0.90156114601284709</v>
      </c>
      <c r="Q50" s="14">
        <f t="shared" si="9"/>
        <v>1.1596124999999986</v>
      </c>
      <c r="R50" s="14">
        <f t="shared" si="10"/>
        <v>1.7653750000000004</v>
      </c>
      <c r="S50" s="14">
        <f t="shared" si="11"/>
        <v>5.7169397550722003</v>
      </c>
      <c r="T50" s="1"/>
      <c r="U50" s="1"/>
      <c r="V50" s="1"/>
      <c r="W50" s="1"/>
      <c r="X50" s="1"/>
      <c r="Y50" s="1"/>
    </row>
    <row r="51" spans="1:25" x14ac:dyDescent="0.25">
      <c r="A51" s="1" t="s">
        <v>48</v>
      </c>
      <c r="B51" s="1" t="s">
        <v>285</v>
      </c>
      <c r="C51" s="9">
        <v>192.87330191239622</v>
      </c>
      <c r="D51" s="6">
        <v>195</v>
      </c>
      <c r="E51" s="6">
        <v>800</v>
      </c>
      <c r="F51" s="1">
        <f t="array" ref="F51">COUNT(IF((Data!$F$2:$F$251=$A51)*(Data!$H$2:$H$251=$B51)*(Data!$K$2:$K$251=$C51)*(Data!$L$2:$L$251=$D51)*(Data!$M$2:$M$251=$E51),Data!$N$2:$N$251," " ))</f>
        <v>2</v>
      </c>
      <c r="G51" s="16">
        <v>1.819</v>
      </c>
      <c r="H51" s="14">
        <v>0.5</v>
      </c>
      <c r="I51" s="14">
        <f>2*Data!D51</f>
        <v>1.86</v>
      </c>
      <c r="J51" s="14">
        <f t="array" ref="J51">AVERAGE(IF((Data!$F$2:$F$251=$A51)*(Data!$H$2:$H$251=$B51)*(Data!$K$2:$K$251=$C51)*(Data!$L$2:$L$251=$D51)*(Data!$M$2:$M$251=$E51),Data!$N$2:$N$251," " ))</f>
        <v>148.6865</v>
      </c>
      <c r="K51" s="14">
        <f t="array" ref="K51">STDEV(IF((Data!$F$2:$F$251=$A51)*(Data!$H$2:$H$251=$B51)*(Data!$K$2:$K$251=$C51)*(Data!$L$2:$L$251=$D51)*(Data!$M$2:$M$251=$E51),Data!$N$2:$N$251," " ))</f>
        <v>0.2708218971944345</v>
      </c>
      <c r="L51" s="14">
        <f t="shared" si="6"/>
        <v>0.34833849999998301</v>
      </c>
      <c r="M51" s="14">
        <f t="shared" si="7"/>
        <v>2.9737299999999998</v>
      </c>
      <c r="N51" s="14">
        <f t="shared" si="8"/>
        <v>7.1201151180250557</v>
      </c>
      <c r="O51" s="14">
        <f t="array" ref="O51">AVERAGE(IF((Data!$F$2:$F$251=$A51)*(Data!$H$2:$H$251=$B51)*(Data!$K$2:$K$251=$C51)*(Data!$L$2:$L$251=$D51)*(Data!$M$2:$M$251=$E51),Data!$O$2:$O$251," " ))</f>
        <v>39.004000000000005</v>
      </c>
      <c r="P51" s="14">
        <f t="array" ref="P51">STDEV(IF((Data!$F$2:$F$251=$A51)*(Data!$H$2:$H$251=$B51)*(Data!$K$2:$K$251=$C51)*(Data!$L$2:$L$251=$D51)*(Data!$M$2:$M$251=$E51),Data!$O$2:$O$251," " ))</f>
        <v>0.72124891681028058</v>
      </c>
      <c r="Q51" s="14">
        <f t="shared" si="9"/>
        <v>0.92769000000000257</v>
      </c>
      <c r="R51" s="14">
        <f t="shared" si="10"/>
        <v>1.9502000000000004</v>
      </c>
      <c r="S51" s="14">
        <f t="shared" si="11"/>
        <v>5.787396228391489</v>
      </c>
      <c r="T51" s="1"/>
      <c r="U51" s="1"/>
      <c r="V51" s="1"/>
      <c r="W51" s="1"/>
      <c r="X51" s="1"/>
      <c r="Y51" s="1"/>
    </row>
    <row r="52" spans="1:25" x14ac:dyDescent="0.25">
      <c r="A52" s="1" t="s">
        <v>48</v>
      </c>
      <c r="B52" s="1" t="s">
        <v>285</v>
      </c>
      <c r="C52" s="9">
        <v>196.87477823950917</v>
      </c>
      <c r="D52" s="6">
        <v>195</v>
      </c>
      <c r="E52" s="6">
        <v>800</v>
      </c>
      <c r="F52" s="1">
        <f t="array" ref="F52">COUNT(IF((Data!$F$2:$F$251=$A52)*(Data!$H$2:$H$251=$B52)*(Data!$K$2:$K$251=$C52)*(Data!$L$2:$L$251=$D52)*(Data!$M$2:$M$251=$E52),Data!$N$2:$N$251," " ))</f>
        <v>2</v>
      </c>
      <c r="G52" s="16">
        <v>1.819</v>
      </c>
      <c r="H52" s="14">
        <v>0.5</v>
      </c>
      <c r="I52" s="14">
        <f>2*Data!D52</f>
        <v>1.86</v>
      </c>
      <c r="J52" s="14">
        <f t="array" ref="J52">AVERAGE(IF((Data!$F$2:$F$251=$A52)*(Data!$H$2:$H$251=$B52)*(Data!$K$2:$K$251=$C52)*(Data!$L$2:$L$251=$D52)*(Data!$M$2:$M$251=$E52),Data!$N$2:$N$251," " ))</f>
        <v>155.74600000000001</v>
      </c>
      <c r="K52" s="14">
        <f t="array" ref="K52">STDEV(IF((Data!$F$2:$F$251=$A52)*(Data!$H$2:$H$251=$B52)*(Data!$K$2:$K$251=$C52)*(Data!$L$2:$L$251=$D52)*(Data!$M$2:$M$251=$E52),Data!$N$2:$N$251," " ))</f>
        <v>1.1030865786510158</v>
      </c>
      <c r="L52" s="14">
        <f t="shared" si="6"/>
        <v>1.418820000000002</v>
      </c>
      <c r="M52" s="14">
        <f t="shared" si="7"/>
        <v>3.1149200000000001</v>
      </c>
      <c r="N52" s="14">
        <f t="shared" si="8"/>
        <v>7.8550306934600851</v>
      </c>
      <c r="O52" s="14">
        <f t="array" ref="O52">AVERAGE(IF((Data!$F$2:$F$251=$A52)*(Data!$H$2:$H$251=$B52)*(Data!$K$2:$K$251=$C52)*(Data!$L$2:$L$251=$D52)*(Data!$M$2:$M$251=$E52),Data!$O$2:$O$251," " ))</f>
        <v>41.617000000000004</v>
      </c>
      <c r="P52" s="14">
        <f t="array" ref="P52">STDEV(IF((Data!$F$2:$F$251=$A52)*(Data!$H$2:$H$251=$B52)*(Data!$K$2:$K$251=$C52)*(Data!$L$2:$L$251=$D52)*(Data!$M$2:$M$251=$E52),Data!$O$2:$O$251," " ))</f>
        <v>2.4338615408440969</v>
      </c>
      <c r="Q52" s="14">
        <f t="shared" si="9"/>
        <v>3.1304989999999999</v>
      </c>
      <c r="R52" s="14">
        <f t="shared" si="10"/>
        <v>2.0808500000000003</v>
      </c>
      <c r="S52" s="14">
        <f t="shared" si="11"/>
        <v>8.4473808275704023</v>
      </c>
      <c r="T52" s="1"/>
      <c r="U52" s="1"/>
      <c r="V52" s="1"/>
      <c r="W52" s="1"/>
      <c r="X52" s="1"/>
      <c r="Y52" s="1"/>
    </row>
    <row r="53" spans="1:25" x14ac:dyDescent="0.25">
      <c r="A53" s="1" t="s">
        <v>48</v>
      </c>
      <c r="B53" s="1" t="s">
        <v>285</v>
      </c>
      <c r="C53" s="8">
        <v>199.28302260368136</v>
      </c>
      <c r="D53" s="1">
        <v>122</v>
      </c>
      <c r="E53" s="1">
        <v>200</v>
      </c>
      <c r="F53" s="1">
        <f t="array" ref="F53">COUNT(IF((Data!$F$2:$F$251=$A53)*(Data!$H$2:$H$251=$B53)*(Data!$K$2:$K$251=$C53)*(Data!$L$2:$L$251=$D53)*(Data!$M$2:$M$251=$E53),Data!$N$2:$N$251," " ))</f>
        <v>2</v>
      </c>
      <c r="G53" s="16">
        <v>1.819</v>
      </c>
      <c r="H53" s="14">
        <v>0.5</v>
      </c>
      <c r="I53" s="14">
        <f>2*Data!D53</f>
        <v>1.86</v>
      </c>
      <c r="J53" s="14">
        <f t="array" ref="J53">AVERAGE(IF((Data!$F$2:$F$251=$A53)*(Data!$H$2:$H$251=$B53)*(Data!$K$2:$K$251=$C53)*(Data!$L$2:$L$251=$D53)*(Data!$M$2:$M$251=$E53),Data!$N$2:$N$251," " ))</f>
        <v>203.73399999999998</v>
      </c>
      <c r="K53" s="14">
        <f t="array" ref="K53">STDEV(IF((Data!$F$2:$F$251=$A53)*(Data!$H$2:$H$251=$B53)*(Data!$K$2:$K$251=$C53)*(Data!$L$2:$L$251=$D53)*(Data!$M$2:$M$251=$E53),Data!$N$2:$N$251," " ))</f>
        <v>1.9162593770155494</v>
      </c>
      <c r="L53" s="14">
        <f t="shared" si="6"/>
        <v>2.4647450000000068</v>
      </c>
      <c r="M53" s="14">
        <f t="shared" si="7"/>
        <v>4.0746799999999999</v>
      </c>
      <c r="N53" s="14">
        <f t="shared" si="8"/>
        <v>10.273769516088052</v>
      </c>
      <c r="O53" s="14">
        <f t="array" ref="O53">AVERAGE(IF((Data!$F$2:$F$251=$A53)*(Data!$H$2:$H$251=$B53)*(Data!$K$2:$K$251=$C53)*(Data!$L$2:$L$251=$D53)*(Data!$M$2:$M$251=$E53),Data!$O$2:$O$251," " ))</f>
        <v>48.924999999999997</v>
      </c>
      <c r="P53" s="14">
        <f t="array" ref="P53">STDEV(IF((Data!$F$2:$F$251=$A53)*(Data!$H$2:$H$251=$B53)*(Data!$K$2:$K$251=$C53)*(Data!$L$2:$L$251=$D53)*(Data!$M$2:$M$251=$E53),Data!$O$2:$O$251," " ))</f>
        <v>0.39032294321497391</v>
      </c>
      <c r="Q53" s="14">
        <f t="shared" si="9"/>
        <v>0.50204399999999949</v>
      </c>
      <c r="R53" s="14">
        <f t="shared" si="10"/>
        <v>2.44625</v>
      </c>
      <c r="S53" s="14">
        <f t="shared" si="11"/>
        <v>6.3073884422749806</v>
      </c>
      <c r="T53" s="1"/>
      <c r="U53" s="1"/>
      <c r="V53" s="1"/>
      <c r="W53" s="1"/>
      <c r="X53" s="1"/>
      <c r="Y53" s="1"/>
    </row>
    <row r="54" spans="1:25" x14ac:dyDescent="0.25">
      <c r="A54" s="1" t="s">
        <v>48</v>
      </c>
      <c r="B54" s="1" t="s">
        <v>285</v>
      </c>
      <c r="C54" s="8">
        <v>199.28302260368136</v>
      </c>
      <c r="D54" s="1">
        <v>122</v>
      </c>
      <c r="E54" s="1">
        <v>800</v>
      </c>
      <c r="F54" s="1">
        <f t="array" ref="F54">COUNT(IF((Data!$F$2:$F$251=$A54)*(Data!$H$2:$H$251=$B54)*(Data!$K$2:$K$251=$C54)*(Data!$L$2:$L$251=$D54)*(Data!$M$2:$M$251=$E54),Data!$N$2:$N$251," " ))</f>
        <v>2</v>
      </c>
      <c r="G54" s="16">
        <v>1.819</v>
      </c>
      <c r="H54" s="14">
        <v>0.5</v>
      </c>
      <c r="I54" s="14">
        <f>2*Data!D54</f>
        <v>1.86</v>
      </c>
      <c r="J54" s="14">
        <f t="array" ref="J54">AVERAGE(IF((Data!$F$2:$F$251=$A54)*(Data!$H$2:$H$251=$B54)*(Data!$K$2:$K$251=$C54)*(Data!$L$2:$L$251=$D54)*(Data!$M$2:$M$251=$E54),Data!$N$2:$N$251," " ))</f>
        <v>134.91149999999999</v>
      </c>
      <c r="K54" s="14">
        <f t="array" ref="K54">STDEV(IF((Data!$F$2:$F$251=$A54)*(Data!$H$2:$H$251=$B54)*(Data!$K$2:$K$251=$C54)*(Data!$L$2:$L$251=$D54)*(Data!$M$2:$M$251=$E54),Data!$N$2:$N$251," " ))</f>
        <v>7.7074639149339957E-2</v>
      </c>
      <c r="L54" s="14">
        <f t="shared" si="6"/>
        <v>9.9135500000008064E-2</v>
      </c>
      <c r="M54" s="14">
        <f t="shared" si="7"/>
        <v>2.6982299999999997</v>
      </c>
      <c r="N54" s="14">
        <f t="shared" si="8"/>
        <v>6.6332112827077205</v>
      </c>
      <c r="O54" s="14">
        <f t="array" ref="O54">AVERAGE(IF((Data!$F$2:$F$251=$A54)*(Data!$H$2:$H$251=$B54)*(Data!$K$2:$K$251=$C54)*(Data!$L$2:$L$251=$D54)*(Data!$M$2:$M$251=$E54),Data!$O$2:$O$251," " ))</f>
        <v>20.9575</v>
      </c>
      <c r="P54" s="14">
        <f t="array" ref="P54">STDEV(IF((Data!$F$2:$F$251=$A54)*(Data!$H$2:$H$251=$B54)*(Data!$K$2:$K$251=$C54)*(Data!$L$2:$L$251=$D54)*(Data!$M$2:$M$251=$E54),Data!$O$2:$O$251," " ))</f>
        <v>0.43628488399209797</v>
      </c>
      <c r="Q54" s="14">
        <f t="shared" si="9"/>
        <v>0.56116149999999754</v>
      </c>
      <c r="R54" s="14">
        <f t="shared" si="10"/>
        <v>1.0478750000000001</v>
      </c>
      <c r="S54" s="14">
        <f t="shared" si="11"/>
        <v>4.5266076678710503</v>
      </c>
      <c r="T54" s="1"/>
      <c r="U54" s="1"/>
      <c r="V54" s="1"/>
      <c r="W54" s="1"/>
      <c r="X54" s="1"/>
      <c r="Y54" s="1"/>
    </row>
    <row r="55" spans="1:25" x14ac:dyDescent="0.25">
      <c r="A55" s="1" t="s">
        <v>48</v>
      </c>
      <c r="B55" s="1" t="s">
        <v>285</v>
      </c>
      <c r="C55" s="8">
        <v>199.28302260368136</v>
      </c>
      <c r="D55" s="1">
        <v>195</v>
      </c>
      <c r="E55" s="1">
        <v>200</v>
      </c>
      <c r="F55" s="1">
        <f t="array" ref="F55">COUNT(IF((Data!$F$2:$F$251=$A55)*(Data!$H$2:$H$251=$B55)*(Data!$K$2:$K$251=$C55)*(Data!$L$2:$L$251=$D55)*(Data!$M$2:$M$251=$E55),Data!$N$2:$N$251," " ))</f>
        <v>2</v>
      </c>
      <c r="G55" s="16">
        <v>1.819</v>
      </c>
      <c r="H55" s="14">
        <v>0.5</v>
      </c>
      <c r="I55" s="14">
        <f>2*Data!D55</f>
        <v>1.86</v>
      </c>
      <c r="J55" s="14">
        <f t="array" ref="J55">AVERAGE(IF((Data!$F$2:$F$251=$A55)*(Data!$H$2:$H$251=$B55)*(Data!$K$2:$K$251=$C55)*(Data!$L$2:$L$251=$D55)*(Data!$M$2:$M$251=$E55),Data!$N$2:$N$251," " ))</f>
        <v>245.73099999999999</v>
      </c>
      <c r="K55" s="14">
        <f t="array" ref="K55">STDEV(IF((Data!$F$2:$F$251=$A55)*(Data!$H$2:$H$251=$B55)*(Data!$K$2:$K$251=$C55)*(Data!$L$2:$L$251=$D55)*(Data!$M$2:$M$251=$E55),Data!$N$2:$N$251," " ))</f>
        <v>0.82590072042589202</v>
      </c>
      <c r="L55" s="14">
        <f t="shared" si="6"/>
        <v>1.0622960000000057</v>
      </c>
      <c r="M55" s="14">
        <f t="shared" si="7"/>
        <v>4.9146200000000002</v>
      </c>
      <c r="N55" s="14">
        <f t="shared" si="8"/>
        <v>10.768762702560775</v>
      </c>
      <c r="O55" s="14">
        <f t="array" ref="O55">AVERAGE(IF((Data!$F$2:$F$251=$A55)*(Data!$H$2:$H$251=$B55)*(Data!$K$2:$K$251=$C55)*(Data!$L$2:$L$251=$D55)*(Data!$M$2:$M$251=$E55),Data!$O$2:$O$251," " ))</f>
        <v>81.22999999999999</v>
      </c>
      <c r="P55" s="14">
        <f t="array" ref="P55">STDEV(IF((Data!$F$2:$F$251=$A55)*(Data!$H$2:$H$251=$B55)*(Data!$K$2:$K$251=$C55)*(Data!$L$2:$L$251=$D55)*(Data!$M$2:$M$251=$E55),Data!$O$2:$O$251," " ))</f>
        <v>6.929646455628094E-2</v>
      </c>
      <c r="Q55" s="14">
        <f t="shared" si="9"/>
        <v>8.9130999999999072E-2</v>
      </c>
      <c r="R55" s="14">
        <f t="shared" si="10"/>
        <v>4.0614999999999997</v>
      </c>
      <c r="S55" s="14">
        <f t="shared" si="11"/>
        <v>8.9918466590931132</v>
      </c>
      <c r="T55" s="1"/>
      <c r="U55" s="1"/>
      <c r="V55" s="1"/>
      <c r="W55" s="1"/>
      <c r="X55" s="1"/>
      <c r="Y55" s="1"/>
    </row>
    <row r="56" spans="1:25" x14ac:dyDescent="0.25">
      <c r="A56" s="1" t="s">
        <v>48</v>
      </c>
      <c r="B56" s="1" t="s">
        <v>285</v>
      </c>
      <c r="C56" s="8">
        <v>199.28302260368136</v>
      </c>
      <c r="D56" s="1">
        <v>195</v>
      </c>
      <c r="E56" s="1">
        <v>800</v>
      </c>
      <c r="F56" s="1">
        <f t="array" ref="F56">COUNT(IF((Data!$F$2:$F$251=$A56)*(Data!$H$2:$H$251=$B56)*(Data!$K$2:$K$251=$C56)*(Data!$L$2:$L$251=$D56)*(Data!$M$2:$M$251=$E56),Data!$N$2:$N$251," " ))</f>
        <v>2</v>
      </c>
      <c r="G56" s="16">
        <v>1.819</v>
      </c>
      <c r="H56" s="14">
        <v>0.5</v>
      </c>
      <c r="I56" s="14">
        <f>2*Data!D56</f>
        <v>1.86</v>
      </c>
      <c r="J56" s="14">
        <f t="array" ref="J56">AVERAGE(IF((Data!$F$2:$F$251=$A56)*(Data!$H$2:$H$251=$B56)*(Data!$K$2:$K$251=$C56)*(Data!$L$2:$L$251=$D56)*(Data!$M$2:$M$251=$E56),Data!$N$2:$N$251," " ))</f>
        <v>156.88249999999999</v>
      </c>
      <c r="K56" s="14">
        <f t="array" ref="K56">STDEV(IF((Data!$F$2:$F$251=$A56)*(Data!$H$2:$H$251=$B56)*(Data!$K$2:$K$251=$C56)*(Data!$L$2:$L$251=$D56)*(Data!$M$2:$M$251=$E56),Data!$N$2:$N$251," " ))</f>
        <v>1.0458109293749134</v>
      </c>
      <c r="L56" s="14">
        <f t="shared" si="6"/>
        <v>1.3451505000000124</v>
      </c>
      <c r="M56" s="14">
        <f t="shared" si="7"/>
        <v>3.1376499999999998</v>
      </c>
      <c r="N56" s="14">
        <f t="shared" si="8"/>
        <v>7.8393564506661599</v>
      </c>
      <c r="O56" s="14">
        <f t="array" ref="O56">AVERAGE(IF((Data!$F$2:$F$251=$A56)*(Data!$H$2:$H$251=$B56)*(Data!$K$2:$K$251=$C56)*(Data!$L$2:$L$251=$D56)*(Data!$M$2:$M$251=$E56),Data!$O$2:$O$251," " ))</f>
        <v>35.2485</v>
      </c>
      <c r="P56" s="14">
        <f t="array" ref="P56">STDEV(IF((Data!$F$2:$F$251=$A56)*(Data!$H$2:$H$251=$B56)*(Data!$K$2:$K$251=$C56)*(Data!$L$2:$L$251=$D56)*(Data!$M$2:$M$251=$E56),Data!$O$2:$O$251," " ))</f>
        <v>0.27647875144394385</v>
      </c>
      <c r="Q56" s="14">
        <f t="shared" si="9"/>
        <v>0.35561450000000477</v>
      </c>
      <c r="R56" s="14">
        <f t="shared" si="10"/>
        <v>1.7624250000000001</v>
      </c>
      <c r="S56" s="14">
        <f t="shared" si="11"/>
        <v>5.2696123399108794</v>
      </c>
      <c r="T56" s="1"/>
      <c r="U56" s="1"/>
      <c r="V56" s="1"/>
      <c r="W56" s="1"/>
      <c r="X56" s="1"/>
      <c r="Y56" s="1"/>
    </row>
    <row r="57" spans="1:25" x14ac:dyDescent="0.25">
      <c r="A57" s="1" t="s">
        <v>48</v>
      </c>
      <c r="B57" s="1" t="s">
        <v>285</v>
      </c>
      <c r="C57" s="9">
        <v>200.89146246865926</v>
      </c>
      <c r="D57" s="6">
        <v>195</v>
      </c>
      <c r="E57" s="6">
        <v>800</v>
      </c>
      <c r="F57" s="1">
        <f t="array" ref="F57">COUNT(IF((Data!$F$2:$F$251=$A57)*(Data!$H$2:$H$251=$B57)*(Data!$K$2:$K$251=$C57)*(Data!$L$2:$L$251=$D57)*(Data!$M$2:$M$251=$E57),Data!$N$2:$N$251," " ))</f>
        <v>2</v>
      </c>
      <c r="G57" s="16">
        <v>1.819</v>
      </c>
      <c r="H57" s="14">
        <v>0.5</v>
      </c>
      <c r="I57" s="14">
        <f>2*Data!D57</f>
        <v>1.86</v>
      </c>
      <c r="J57" s="14">
        <f t="array" ref="J57">AVERAGE(IF((Data!$F$2:$F$251=$A57)*(Data!$H$2:$H$251=$B57)*(Data!$K$2:$K$251=$C57)*(Data!$L$2:$L$251=$D57)*(Data!$M$2:$M$251=$E57),Data!$N$2:$N$251," " ))</f>
        <v>154.29500000000002</v>
      </c>
      <c r="K57" s="14">
        <f t="array" ref="K57">STDEV(IF((Data!$F$2:$F$251=$A57)*(Data!$H$2:$H$251=$B57)*(Data!$K$2:$K$251=$C57)*(Data!$L$2:$L$251=$D57)*(Data!$M$2:$M$251=$E57),Data!$N$2:$N$251," " ))</f>
        <v>2.2528422048603454</v>
      </c>
      <c r="L57" s="14">
        <f t="shared" si="6"/>
        <v>2.897667000000006</v>
      </c>
      <c r="M57" s="14">
        <f t="shared" si="7"/>
        <v>3.0859000000000005</v>
      </c>
      <c r="N57" s="14">
        <f t="shared" si="8"/>
        <v>9.3013661045867959</v>
      </c>
      <c r="O57" s="14">
        <f t="array" ref="O57">AVERAGE(IF((Data!$F$2:$F$251=$A57)*(Data!$H$2:$H$251=$B57)*(Data!$K$2:$K$251=$C57)*(Data!$L$2:$L$251=$D57)*(Data!$M$2:$M$251=$E57),Data!$O$2:$O$251," " ))</f>
        <v>35.69</v>
      </c>
      <c r="P57" s="14">
        <f t="array" ref="P57">STDEV(IF((Data!$F$2:$F$251=$A57)*(Data!$H$2:$H$251=$B57)*(Data!$K$2:$K$251=$C57)*(Data!$L$2:$L$251=$D57)*(Data!$M$2:$M$251=$E57),Data!$O$2:$O$251," " ))</f>
        <v>0.90085403923166218</v>
      </c>
      <c r="Q57" s="14">
        <f t="shared" si="9"/>
        <v>1.1587030000000007</v>
      </c>
      <c r="R57" s="14">
        <f t="shared" si="10"/>
        <v>1.7845</v>
      </c>
      <c r="S57" s="14">
        <f t="shared" si="11"/>
        <v>5.7399069303287495</v>
      </c>
      <c r="T57" s="1"/>
      <c r="U57" s="1"/>
      <c r="V57" s="1"/>
      <c r="W57" s="1"/>
      <c r="X57" s="1"/>
      <c r="Y57" s="1"/>
    </row>
    <row r="58" spans="1:25" x14ac:dyDescent="0.25">
      <c r="A58" s="1" t="s">
        <v>48</v>
      </c>
      <c r="B58" s="1" t="s">
        <v>285</v>
      </c>
      <c r="C58" s="9">
        <v>204.92246033173816</v>
      </c>
      <c r="D58" s="6">
        <v>195</v>
      </c>
      <c r="E58" s="6">
        <v>800</v>
      </c>
      <c r="F58" s="1">
        <f t="array" ref="F58">COUNT(IF((Data!$F$2:$F$251=$A58)*(Data!$H$2:$H$251=$B58)*(Data!$K$2:$K$251=$C58)*(Data!$L$2:$L$251=$D58)*(Data!$M$2:$M$251=$E58),Data!$N$2:$N$251," " ))</f>
        <v>2</v>
      </c>
      <c r="G58" s="16">
        <v>1.819</v>
      </c>
      <c r="H58" s="14">
        <v>0.5</v>
      </c>
      <c r="I58" s="14">
        <f>2*Data!D58</f>
        <v>1.86</v>
      </c>
      <c r="J58" s="14">
        <f t="array" ref="J58">AVERAGE(IF((Data!$F$2:$F$251=$A58)*(Data!$H$2:$H$251=$B58)*(Data!$K$2:$K$251=$C58)*(Data!$L$2:$L$251=$D58)*(Data!$M$2:$M$251=$E58),Data!$N$2:$N$251," " ))</f>
        <v>156.78050000000002</v>
      </c>
      <c r="K58" s="14">
        <f t="array" ref="K58">STDEV(IF((Data!$F$2:$F$251=$A58)*(Data!$H$2:$H$251=$B58)*(Data!$K$2:$K$251=$C58)*(Data!$L$2:$L$251=$D58)*(Data!$M$2:$M$251=$E58),Data!$N$2:$N$251," " ))</f>
        <v>1.8024151852445143</v>
      </c>
      <c r="L58" s="14">
        <f t="shared" si="6"/>
        <v>2.3183155000000055</v>
      </c>
      <c r="M58" s="14">
        <f t="shared" si="7"/>
        <v>3.1356100000000002</v>
      </c>
      <c r="N58" s="14">
        <f t="shared" si="8"/>
        <v>8.6985600715613334</v>
      </c>
      <c r="O58" s="14">
        <f t="array" ref="O58">AVERAGE(IF((Data!$F$2:$F$251=$A58)*(Data!$H$2:$H$251=$B58)*(Data!$K$2:$K$251=$C58)*(Data!$L$2:$L$251=$D58)*(Data!$M$2:$M$251=$E58),Data!$O$2:$O$251," " ))</f>
        <v>35.69</v>
      </c>
      <c r="P58" s="14">
        <f t="array" ref="P58">STDEV(IF((Data!$F$2:$F$251=$A58)*(Data!$H$2:$H$251=$B58)*(Data!$K$2:$K$251=$C58)*(Data!$L$2:$L$251=$D58)*(Data!$M$2:$M$251=$E58),Data!$O$2:$O$251," " ))</f>
        <v>0.90085403923166218</v>
      </c>
      <c r="Q58" s="14">
        <f t="shared" si="9"/>
        <v>1.1587030000000007</v>
      </c>
      <c r="R58" s="14">
        <f t="shared" si="10"/>
        <v>1.7845</v>
      </c>
      <c r="S58" s="14">
        <f t="shared" si="11"/>
        <v>5.7399069303287495</v>
      </c>
      <c r="T58" s="1"/>
      <c r="U58" s="1"/>
      <c r="V58" s="1"/>
      <c r="W58" s="1"/>
      <c r="X58" s="1"/>
      <c r="Y58" s="1"/>
    </row>
    <row r="59" spans="1:25" x14ac:dyDescent="0.25">
      <c r="A59" s="1" t="s">
        <v>48</v>
      </c>
      <c r="B59" s="1" t="s">
        <v>285</v>
      </c>
      <c r="C59" s="9">
        <v>208.9669434951474</v>
      </c>
      <c r="D59" s="6">
        <v>195</v>
      </c>
      <c r="E59" s="6">
        <v>800</v>
      </c>
      <c r="F59" s="1">
        <f t="array" ref="F59">COUNT(IF((Data!$F$2:$F$251=$A59)*(Data!$H$2:$H$251=$B59)*(Data!$K$2:$K$251=$C59)*(Data!$L$2:$L$251=$D59)*(Data!$M$2:$M$251=$E59),Data!$N$2:$N$251," " ))</f>
        <v>2</v>
      </c>
      <c r="G59" s="16">
        <v>1.819</v>
      </c>
      <c r="H59" s="14">
        <v>0.5</v>
      </c>
      <c r="I59" s="14">
        <f>2*Data!D59</f>
        <v>1.86</v>
      </c>
      <c r="J59" s="14">
        <f t="array" ref="J59">AVERAGE(IF((Data!$F$2:$F$251=$A59)*(Data!$H$2:$H$251=$B59)*(Data!$K$2:$K$251=$C59)*(Data!$L$2:$L$251=$D59)*(Data!$M$2:$M$251=$E59),Data!$N$2:$N$251," " ))</f>
        <v>159.3295</v>
      </c>
      <c r="K59" s="14">
        <f t="array" ref="K59">STDEV(IF((Data!$F$2:$F$251=$A59)*(Data!$H$2:$H$251=$B59)*(Data!$K$2:$K$251=$C59)*(Data!$L$2:$L$251=$D59)*(Data!$M$2:$M$251=$E59),Data!$N$2:$N$251," " ))</f>
        <v>7.57099230616436</v>
      </c>
      <c r="L59" s="14">
        <f t="shared" si="6"/>
        <v>9.7380164999999934</v>
      </c>
      <c r="M59" s="14">
        <f t="shared" si="7"/>
        <v>3.1865899999999998</v>
      </c>
      <c r="N59" s="14">
        <f t="shared" si="8"/>
        <v>20.851179456555652</v>
      </c>
      <c r="O59" s="14">
        <f t="array" ref="O59">AVERAGE(IF((Data!$F$2:$F$251=$A59)*(Data!$H$2:$H$251=$B59)*(Data!$K$2:$K$251=$C59)*(Data!$L$2:$L$251=$D59)*(Data!$M$2:$M$251=$E59),Data!$O$2:$O$251," " ))</f>
        <v>36.646000000000001</v>
      </c>
      <c r="P59" s="14">
        <f t="array" ref="P59">STDEV(IF((Data!$F$2:$F$251=$A59)*(Data!$H$2:$H$251=$B59)*(Data!$K$2:$K$251=$C59)*(Data!$L$2:$L$251=$D59)*(Data!$M$2:$M$251=$E59),Data!$O$2:$O$251," " ))</f>
        <v>2.7944859992492344</v>
      </c>
      <c r="Q59" s="14">
        <f t="shared" si="9"/>
        <v>3.5943439999999978</v>
      </c>
      <c r="R59" s="14">
        <f t="shared" si="10"/>
        <v>1.8323</v>
      </c>
      <c r="S59" s="14">
        <f t="shared" si="11"/>
        <v>8.9411927795649238</v>
      </c>
      <c r="T59" s="1"/>
      <c r="U59" s="1"/>
      <c r="V59" s="1"/>
      <c r="W59" s="1"/>
      <c r="X59" s="1"/>
      <c r="Y59" s="1"/>
    </row>
    <row r="60" spans="1:25" x14ac:dyDescent="0.25">
      <c r="A60" s="1" t="s">
        <v>48</v>
      </c>
      <c r="B60" s="1" t="s">
        <v>285</v>
      </c>
      <c r="C60" s="9">
        <v>211.11</v>
      </c>
      <c r="D60" s="6">
        <v>195</v>
      </c>
      <c r="E60" s="6">
        <v>800</v>
      </c>
      <c r="F60" s="1">
        <f t="array" ref="F60">COUNT(IF((Data!$F$2:$F$251=$A60)*(Data!$H$2:$H$251=$B60)*(Data!$K$2:$K$251=$C60)*(Data!$L$2:$L$251=$D60)*(Data!$M$2:$M$251=$E60),Data!$N$2:$N$251," " ))</f>
        <v>2</v>
      </c>
      <c r="G60" s="16">
        <v>1.819</v>
      </c>
      <c r="H60" s="14">
        <v>0.5</v>
      </c>
      <c r="I60" s="14">
        <f>2*Data!D60</f>
        <v>1.86</v>
      </c>
      <c r="J60" s="14">
        <f t="array" ref="J60">AVERAGE(IF((Data!$F$2:$F$251=$A60)*(Data!$H$2:$H$251=$B60)*(Data!$K$2:$K$251=$C60)*(Data!$L$2:$L$251=$D60)*(Data!$M$2:$M$251=$E60),Data!$N$2:$N$251," " ))</f>
        <v>160.477</v>
      </c>
      <c r="K60" s="14">
        <f t="array" ref="K60">STDEV(IF((Data!$F$2:$F$251=$A60)*(Data!$H$2:$H$251=$B60)*(Data!$K$2:$K$251=$C60)*(Data!$L$2:$L$251=$D60)*(Data!$M$2:$M$251=$E60),Data!$N$2:$N$251," " ))</f>
        <v>0.3606244584051328</v>
      </c>
      <c r="L60" s="14">
        <f t="shared" si="6"/>
        <v>0.46384499999999163</v>
      </c>
      <c r="M60" s="14">
        <f t="shared" si="7"/>
        <v>3.2095400000000001</v>
      </c>
      <c r="N60" s="14">
        <f t="shared" si="8"/>
        <v>7.5434472744561534</v>
      </c>
      <c r="O60" s="14">
        <f t="array" ref="O60">AVERAGE(IF((Data!$F$2:$F$251=$A60)*(Data!$H$2:$H$251=$B60)*(Data!$K$2:$K$251=$C60)*(Data!$L$2:$L$251=$D60)*(Data!$M$2:$M$251=$E60),Data!$O$2:$O$251," " ))</f>
        <v>35.243499999999997</v>
      </c>
      <c r="P60" s="14">
        <f t="array" ref="P60">STDEV(IF((Data!$F$2:$F$251=$A60)*(Data!$H$2:$H$251=$B60)*(Data!$K$2:$K$251=$C60)*(Data!$L$2:$L$251=$D60)*(Data!$M$2:$M$251=$E60),Data!$O$2:$O$251," " ))</f>
        <v>0.45042701961583109</v>
      </c>
      <c r="Q60" s="14">
        <f t="shared" si="9"/>
        <v>0.57935150000000035</v>
      </c>
      <c r="R60" s="14">
        <f t="shared" si="10"/>
        <v>1.762175</v>
      </c>
      <c r="S60" s="14">
        <f t="shared" si="11"/>
        <v>5.3480870939719187</v>
      </c>
      <c r="T60" s="1"/>
      <c r="U60" s="1"/>
      <c r="V60" s="1"/>
      <c r="W60" s="1"/>
      <c r="X60" s="1"/>
      <c r="Y60" s="1"/>
    </row>
    <row r="61" spans="1:25" x14ac:dyDescent="0.25">
      <c r="A61" s="1" t="s">
        <v>48</v>
      </c>
      <c r="B61" s="1" t="s">
        <v>285</v>
      </c>
      <c r="C61" s="9">
        <v>213.02414386325015</v>
      </c>
      <c r="D61" s="6">
        <v>195</v>
      </c>
      <c r="E61" s="6">
        <v>800</v>
      </c>
      <c r="F61" s="1">
        <f t="array" ref="F61">COUNT(IF((Data!$F$2:$F$251=$A61)*(Data!$H$2:$H$251=$B61)*(Data!$K$2:$K$251=$C61)*(Data!$L$2:$L$251=$D61)*(Data!$M$2:$M$251=$E61),Data!$N$2:$N$251," " ))</f>
        <v>2</v>
      </c>
      <c r="G61" s="16">
        <v>1.819</v>
      </c>
      <c r="H61" s="14">
        <v>0.5</v>
      </c>
      <c r="I61" s="14">
        <f>2*Data!D61</f>
        <v>1.86</v>
      </c>
      <c r="J61" s="14">
        <f t="array" ref="J61">AVERAGE(IF((Data!$F$2:$F$251=$A61)*(Data!$H$2:$H$251=$B61)*(Data!$K$2:$K$251=$C61)*(Data!$L$2:$L$251=$D61)*(Data!$M$2:$M$251=$E61),Data!$N$2:$N$251," " ))</f>
        <v>166.65899999999999</v>
      </c>
      <c r="K61" s="14">
        <f t="array" ref="K61">STDEV(IF((Data!$F$2:$F$251=$A61)*(Data!$H$2:$H$251=$B61)*(Data!$K$2:$K$251=$C61)*(Data!$L$2:$L$251=$D61)*(Data!$M$2:$M$251=$E61),Data!$N$2:$N$251," " ))</f>
        <v>1.3519881656286832</v>
      </c>
      <c r="L61" s="14">
        <f t="shared" si="6"/>
        <v>1.7389640000000053</v>
      </c>
      <c r="M61" s="14">
        <f t="shared" si="7"/>
        <v>3.33318</v>
      </c>
      <c r="N61" s="14">
        <f t="shared" si="8"/>
        <v>8.4483571670937359</v>
      </c>
      <c r="O61" s="14">
        <f t="array" ref="O61">AVERAGE(IF((Data!$F$2:$F$251=$A61)*(Data!$H$2:$H$251=$B61)*(Data!$K$2:$K$251=$C61)*(Data!$L$2:$L$251=$D61)*(Data!$M$2:$M$251=$E61),Data!$O$2:$O$251," " ))</f>
        <v>34.287500000000001</v>
      </c>
      <c r="P61" s="14">
        <f t="array" ref="P61">STDEV(IF((Data!$F$2:$F$251=$A61)*(Data!$H$2:$H$251=$B61)*(Data!$K$2:$K$251=$C61)*(Data!$L$2:$L$251=$D61)*(Data!$M$2:$M$251=$E61),Data!$O$2:$O$251," " ))</f>
        <v>2.1630396436496468</v>
      </c>
      <c r="Q61" s="14">
        <f t="shared" si="9"/>
        <v>2.7821604999999971</v>
      </c>
      <c r="R61" s="14">
        <f t="shared" si="10"/>
        <v>1.7143750000000002</v>
      </c>
      <c r="S61" s="14">
        <f t="shared" si="11"/>
        <v>7.5865930926563436</v>
      </c>
      <c r="T61" s="1"/>
      <c r="U61" s="1"/>
      <c r="V61" s="1"/>
      <c r="W61" s="1"/>
      <c r="X61" s="1"/>
      <c r="Y61" s="1"/>
    </row>
    <row r="62" spans="1:25" x14ac:dyDescent="0.25">
      <c r="A62" s="1" t="s">
        <v>48</v>
      </c>
      <c r="B62" s="1" t="s">
        <v>285</v>
      </c>
      <c r="C62" s="9">
        <v>221.17389463413082</v>
      </c>
      <c r="D62" s="6">
        <v>195</v>
      </c>
      <c r="E62" s="6">
        <v>800</v>
      </c>
      <c r="F62" s="1">
        <f t="array" ref="F62">COUNT(IF((Data!$F$2:$F$251=$A62)*(Data!$H$2:$H$251=$B62)*(Data!$K$2:$K$251=$C62)*(Data!$L$2:$L$251=$D62)*(Data!$M$2:$M$251=$E62),Data!$N$2:$N$251," " ))</f>
        <v>2</v>
      </c>
      <c r="G62" s="16">
        <v>1.819</v>
      </c>
      <c r="H62" s="14">
        <v>0.5</v>
      </c>
      <c r="I62" s="14">
        <f>2*Data!D62</f>
        <v>1.86</v>
      </c>
      <c r="J62" s="14">
        <f t="array" ref="J62">AVERAGE(IF((Data!$F$2:$F$251=$A62)*(Data!$H$2:$H$251=$B62)*(Data!$K$2:$K$251=$C62)*(Data!$L$2:$L$251=$D62)*(Data!$M$2:$M$251=$E62),Data!$N$2:$N$251," " ))</f>
        <v>168.316</v>
      </c>
      <c r="K62" s="14">
        <f t="array" ref="K62">STDEV(IF((Data!$F$2:$F$251=$A62)*(Data!$H$2:$H$251=$B62)*(Data!$K$2:$K$251=$C62)*(Data!$L$2:$L$251=$D62)*(Data!$M$2:$M$251=$E62),Data!$N$2:$N$251," " ))</f>
        <v>0.27011479041326469</v>
      </c>
      <c r="L62" s="14">
        <f t="shared" si="6"/>
        <v>0.34742900000000448</v>
      </c>
      <c r="M62" s="14">
        <f t="shared" si="7"/>
        <v>3.36632</v>
      </c>
      <c r="N62" s="14">
        <f t="shared" si="8"/>
        <v>7.7877897384151309</v>
      </c>
      <c r="O62" s="14">
        <f t="array" ref="O62">AVERAGE(IF((Data!$F$2:$F$251=$A62)*(Data!$H$2:$H$251=$B62)*(Data!$K$2:$K$251=$C62)*(Data!$L$2:$L$251=$D62)*(Data!$M$2:$M$251=$E62),Data!$O$2:$O$251," " ))</f>
        <v>36.837000000000003</v>
      </c>
      <c r="P62" s="14">
        <f t="array" ref="P62">STDEV(IF((Data!$F$2:$F$251=$A62)*(Data!$H$2:$H$251=$B62)*(Data!$K$2:$K$251=$C62)*(Data!$L$2:$L$251=$D62)*(Data!$M$2:$M$251=$E62),Data!$O$2:$O$251," " ))</f>
        <v>0.72124891681028058</v>
      </c>
      <c r="Q62" s="14">
        <f t="shared" si="9"/>
        <v>0.92769000000000257</v>
      </c>
      <c r="R62" s="14">
        <f t="shared" si="10"/>
        <v>1.8418500000000002</v>
      </c>
      <c r="S62" s="14">
        <f t="shared" si="11"/>
        <v>5.64362300604851</v>
      </c>
      <c r="T62" s="1"/>
      <c r="U62" s="1"/>
      <c r="V62" s="1"/>
      <c r="W62" s="1"/>
      <c r="X62" s="1"/>
      <c r="Y62" s="1"/>
    </row>
    <row r="63" spans="1:25" x14ac:dyDescent="0.25">
      <c r="A63" s="1" t="s">
        <v>48</v>
      </c>
      <c r="B63" s="1" t="s">
        <v>285</v>
      </c>
      <c r="C63" s="9">
        <v>229.36658899083255</v>
      </c>
      <c r="D63" s="6">
        <v>195</v>
      </c>
      <c r="E63" s="6">
        <v>800</v>
      </c>
      <c r="F63" s="1">
        <f t="array" ref="F63">COUNT(IF((Data!$F$2:$F$251=$A63)*(Data!$H$2:$H$251=$B63)*(Data!$K$2:$K$251=$C63)*(Data!$L$2:$L$251=$D63)*(Data!$M$2:$M$251=$E63),Data!$N$2:$N$251," " ))</f>
        <v>2</v>
      </c>
      <c r="G63" s="16">
        <v>1.819</v>
      </c>
      <c r="H63" s="14">
        <v>0.5</v>
      </c>
      <c r="I63" s="14">
        <f>2*Data!D63</f>
        <v>1.86</v>
      </c>
      <c r="J63" s="14">
        <f t="array" ref="J63">AVERAGE(IF((Data!$F$2:$F$251=$A63)*(Data!$H$2:$H$251=$B63)*(Data!$K$2:$K$251=$C63)*(Data!$L$2:$L$251=$D63)*(Data!$M$2:$M$251=$E63),Data!$N$2:$N$251," " ))</f>
        <v>175.45499999999998</v>
      </c>
      <c r="K63" s="14">
        <f t="array" ref="K63">STDEV(IF((Data!$F$2:$F$251=$A63)*(Data!$H$2:$H$251=$B63)*(Data!$K$2:$K$251=$C63)*(Data!$L$2:$L$251=$D63)*(Data!$M$2:$M$251=$E63),Data!$N$2:$N$251," " ))</f>
        <v>4.7757992001339353</v>
      </c>
      <c r="L63" s="14">
        <f t="shared" si="6"/>
        <v>6.1427629999999906</v>
      </c>
      <c r="M63" s="14">
        <f t="shared" si="7"/>
        <v>3.5090999999999997</v>
      </c>
      <c r="N63" s="14">
        <f t="shared" si="8"/>
        <v>14.663822159882994</v>
      </c>
      <c r="O63" s="14">
        <f t="array" ref="O63">AVERAGE(IF((Data!$F$2:$F$251=$A63)*(Data!$H$2:$H$251=$B63)*(Data!$K$2:$K$251=$C63)*(Data!$L$2:$L$251=$D63)*(Data!$M$2:$M$251=$E63),Data!$O$2:$O$251," " ))</f>
        <v>29.369</v>
      </c>
      <c r="P63" s="14">
        <f t="array" ref="P63">STDEV(IF((Data!$F$2:$F$251=$A63)*(Data!$H$2:$H$251=$B63)*(Data!$K$2:$K$251=$C63)*(Data!$L$2:$L$251=$D63)*(Data!$M$2:$M$251=$E63),Data!$O$2:$O$251," " ))</f>
        <v>2.8100423484353398</v>
      </c>
      <c r="Q63" s="14">
        <f t="shared" si="9"/>
        <v>3.6143529999999999</v>
      </c>
      <c r="R63" s="14">
        <f t="shared" si="10"/>
        <v>1.46845</v>
      </c>
      <c r="S63" s="14">
        <f t="shared" si="11"/>
        <v>8.7016074402627481</v>
      </c>
      <c r="T63" s="1"/>
      <c r="U63" s="1"/>
      <c r="V63" s="1"/>
      <c r="W63" s="1"/>
      <c r="X63" s="1"/>
      <c r="Y63" s="1"/>
    </row>
    <row r="64" spans="1:25" x14ac:dyDescent="0.25">
      <c r="A64" s="1" t="s">
        <v>48</v>
      </c>
      <c r="B64" s="1" t="s">
        <v>285</v>
      </c>
      <c r="C64" s="10">
        <v>233.33199999999999</v>
      </c>
      <c r="D64" s="1">
        <v>195</v>
      </c>
      <c r="E64" s="1">
        <v>800</v>
      </c>
      <c r="F64" s="1">
        <f t="array" ref="F64">COUNT(IF((Data!$F$2:$F$251=$A64)*(Data!$H$2:$H$251=$B64)*(Data!$K$2:$K$251=$C64)*(Data!$L$2:$L$251=$D64)*(Data!$M$2:$M$251=$E64),Data!$N$2:$N$251," " ))</f>
        <v>2</v>
      </c>
      <c r="G64" s="16">
        <v>1.819</v>
      </c>
      <c r="H64" s="14">
        <v>0.5</v>
      </c>
      <c r="I64" s="14">
        <f>2*Data!D64</f>
        <v>1.86</v>
      </c>
      <c r="J64" s="14">
        <f t="array" ref="J64">AVERAGE(IF((Data!$F$2:$F$251=$A64)*(Data!$H$2:$H$251=$B64)*(Data!$K$2:$K$251=$C64)*(Data!$L$2:$L$251=$D64)*(Data!$M$2:$M$251=$E64),Data!$N$2:$N$251," " ))</f>
        <v>169.27199999999999</v>
      </c>
      <c r="K64" s="14">
        <f t="array" ref="K64">STDEV(IF((Data!$F$2:$F$251=$A64)*(Data!$H$2:$H$251=$B64)*(Data!$K$2:$K$251=$C64)*(Data!$L$2:$L$251=$D64)*(Data!$M$2:$M$251=$E64),Data!$N$2:$N$251," " ))</f>
        <v>0.72124891681028569</v>
      </c>
      <c r="L64" s="14">
        <f t="shared" si="6"/>
        <v>0.92769000000000923</v>
      </c>
      <c r="M64" s="14">
        <f t="shared" si="7"/>
        <v>3.38544</v>
      </c>
      <c r="N64" s="14">
        <f t="shared" si="8"/>
        <v>8.007849331674521</v>
      </c>
      <c r="O64" s="14">
        <f t="array" ref="O64">AVERAGE(IF((Data!$F$2:$F$251=$A64)*(Data!$H$2:$H$251=$B64)*(Data!$K$2:$K$251=$C64)*(Data!$L$2:$L$251=$D64)*(Data!$M$2:$M$251=$E64),Data!$O$2:$O$251," " ))</f>
        <v>35.18</v>
      </c>
      <c r="P64" s="14">
        <f t="array" ref="P64">STDEV(IF((Data!$F$2:$F$251=$A64)*(Data!$H$2:$H$251=$B64)*(Data!$K$2:$K$251=$C64)*(Data!$L$2:$L$251=$D64)*(Data!$M$2:$M$251=$E64),Data!$O$2:$O$251," " ))</f>
        <v>0.36062445840514284</v>
      </c>
      <c r="Q64" s="14">
        <f t="shared" si="9"/>
        <v>0.46384500000000461</v>
      </c>
      <c r="R64" s="14">
        <f t="shared" si="10"/>
        <v>1.7590000000000001</v>
      </c>
      <c r="S64" s="14">
        <f t="shared" si="11"/>
        <v>5.2986161151851734</v>
      </c>
      <c r="T64" s="1"/>
      <c r="U64" s="1"/>
      <c r="V64" s="1"/>
      <c r="W64" s="1"/>
      <c r="X64" s="1"/>
      <c r="Y64" s="1"/>
    </row>
    <row r="65" spans="1:25" x14ac:dyDescent="0.25">
      <c r="A65" s="1" t="s">
        <v>48</v>
      </c>
      <c r="B65" s="1" t="s">
        <v>285</v>
      </c>
      <c r="C65" s="9">
        <v>237.59778471536811</v>
      </c>
      <c r="D65" s="6">
        <v>195</v>
      </c>
      <c r="E65" s="6">
        <v>800</v>
      </c>
      <c r="F65" s="1">
        <f t="array" ref="F65">COUNT(IF((Data!$F$2:$F$251=$A65)*(Data!$H$2:$H$251=$B65)*(Data!$K$2:$K$251=$C65)*(Data!$L$2:$L$251=$D65)*(Data!$M$2:$M$251=$E65),Data!$N$2:$N$251," " ))</f>
        <v>2</v>
      </c>
      <c r="G65" s="16">
        <v>1.819</v>
      </c>
      <c r="H65" s="14">
        <v>0.5</v>
      </c>
      <c r="I65" s="14">
        <f>2*Data!D65</f>
        <v>1.86</v>
      </c>
      <c r="J65" s="14">
        <f t="array" ref="J65">AVERAGE(IF((Data!$F$2:$F$251=$A65)*(Data!$H$2:$H$251=$B65)*(Data!$K$2:$K$251=$C65)*(Data!$L$2:$L$251=$D65)*(Data!$M$2:$M$251=$E65),Data!$N$2:$N$251," " ))</f>
        <v>184.624</v>
      </c>
      <c r="K65" s="14">
        <f t="array" ref="K65">STDEV(IF((Data!$F$2:$F$251=$A65)*(Data!$H$2:$H$251=$B65)*(Data!$K$2:$K$251=$C65)*(Data!$L$2:$L$251=$D65)*(Data!$M$2:$M$251=$E65),Data!$N$2:$N$251," " ))</f>
        <v>2.8043854941858535</v>
      </c>
      <c r="L65" s="14">
        <f t="shared" si="6"/>
        <v>3.6070770000000074</v>
      </c>
      <c r="M65" s="14">
        <f t="shared" si="7"/>
        <v>3.6924799999999998</v>
      </c>
      <c r="N65" s="14">
        <f t="shared" si="8"/>
        <v>11.019076737064509</v>
      </c>
      <c r="O65" s="14">
        <f t="array" ref="O65">AVERAGE(IF((Data!$F$2:$F$251=$A65)*(Data!$H$2:$H$251=$B65)*(Data!$K$2:$K$251=$C65)*(Data!$L$2:$L$251=$D65)*(Data!$M$2:$M$251=$E65),Data!$O$2:$O$251," " ))</f>
        <v>30.585000000000001</v>
      </c>
      <c r="P65" s="14">
        <f t="array" ref="P65">STDEV(IF((Data!$F$2:$F$251=$A65)*(Data!$H$2:$H$251=$B65)*(Data!$K$2:$K$251=$C65)*(Data!$L$2:$L$251=$D65)*(Data!$M$2:$M$251=$E65),Data!$O$2:$O$251," " ))</f>
        <v>8.4852813742388924E-3</v>
      </c>
      <c r="Q65" s="14">
        <f t="shared" si="9"/>
        <v>1.0914000000000413E-2</v>
      </c>
      <c r="R65" s="14">
        <f t="shared" si="10"/>
        <v>1.5292500000000002</v>
      </c>
      <c r="S65" s="14">
        <f t="shared" si="11"/>
        <v>4.9186683880481317</v>
      </c>
      <c r="T65" s="1"/>
      <c r="U65" s="1"/>
      <c r="V65" s="1"/>
      <c r="W65" s="1"/>
      <c r="X65" s="1"/>
      <c r="Y65" s="1"/>
    </row>
    <row r="66" spans="1:25" x14ac:dyDescent="0.25">
      <c r="A66" s="1" t="s">
        <v>48</v>
      </c>
      <c r="B66" s="1" t="s">
        <v>285</v>
      </c>
      <c r="C66" s="9">
        <v>245.86361491020244</v>
      </c>
      <c r="D66" s="6">
        <v>195</v>
      </c>
      <c r="E66" s="6">
        <v>800</v>
      </c>
      <c r="F66" s="1">
        <f t="array" ref="F66">COUNT(IF((Data!$F$2:$F$251=$A66)*(Data!$H$2:$H$251=$B66)*(Data!$K$2:$K$251=$C66)*(Data!$L$2:$L$251=$D66)*(Data!$M$2:$M$251=$E66),Data!$N$2:$N$251," " ))</f>
        <v>2</v>
      </c>
      <c r="G66" s="16">
        <v>1.819</v>
      </c>
      <c r="H66" s="14">
        <v>0.5</v>
      </c>
      <c r="I66" s="14">
        <f>2*Data!D66</f>
        <v>1.86</v>
      </c>
      <c r="J66" s="14">
        <f t="array" ref="J66">AVERAGE(IF((Data!$F$2:$F$251=$A66)*(Data!$H$2:$H$251=$B66)*(Data!$K$2:$K$251=$C66)*(Data!$L$2:$L$251=$D66)*(Data!$M$2:$M$251=$E66),Data!$N$2:$N$251," " ))</f>
        <v>186.21700000000001</v>
      </c>
      <c r="K66" s="14">
        <f t="array" ref="K66">STDEV(IF((Data!$F$2:$F$251=$A66)*(Data!$H$2:$H$251=$B66)*(Data!$K$2:$K$251=$C66)*(Data!$L$2:$L$251=$D66)*(Data!$M$2:$M$251=$E66),Data!$N$2:$N$251," " ))</f>
        <v>0.73256262530926419</v>
      </c>
      <c r="L66" s="14">
        <f t="shared" ref="L66:L71" si="12">G66*K66/SQRT(F66)</f>
        <v>0.94224200000000125</v>
      </c>
      <c r="M66" s="14">
        <f t="shared" ref="M66:M71" si="13">J66*2%</f>
        <v>3.7243400000000002</v>
      </c>
      <c r="N66" s="14">
        <f t="shared" ref="N66:N71" si="14">2*SQRT(SUMSQ(H66,I66,L66,M66))</f>
        <v>8.594912081496588</v>
      </c>
      <c r="O66" s="14">
        <f t="array" ref="O66">AVERAGE(IF((Data!$F$2:$F$251=$A66)*(Data!$H$2:$H$251=$B66)*(Data!$K$2:$K$251=$C66)*(Data!$L$2:$L$251=$D66)*(Data!$M$2:$M$251=$E66),Data!$O$2:$O$251," " ))</f>
        <v>29.814500000000002</v>
      </c>
      <c r="P66" s="14">
        <f t="array" ref="P66">STDEV(IF((Data!$F$2:$F$251=$A66)*(Data!$H$2:$H$251=$B66)*(Data!$K$2:$K$251=$C66)*(Data!$L$2:$L$251=$D66)*(Data!$M$2:$M$251=$E66),Data!$O$2:$O$251," " ))</f>
        <v>0.88459058326437179</v>
      </c>
      <c r="Q66" s="14">
        <f t="shared" ref="Q66:Q71" si="15">G66*P66/SQRT(F66)</f>
        <v>1.1377845000000011</v>
      </c>
      <c r="R66" s="14">
        <f t="shared" ref="R66:R71" si="16">O66*5%</f>
        <v>1.4907250000000003</v>
      </c>
      <c r="S66" s="14">
        <f t="shared" ref="S66:S71" si="17">2*SQRT(SUMSQ(H66,I66,Q66,R66))</f>
        <v>5.376398271729971</v>
      </c>
      <c r="T66" s="1"/>
      <c r="U66" s="1"/>
      <c r="V66" s="1"/>
      <c r="W66" s="1"/>
      <c r="X66" s="1"/>
      <c r="Y66" s="1"/>
    </row>
    <row r="67" spans="1:25" x14ac:dyDescent="0.25">
      <c r="A67" s="1" t="s">
        <v>48</v>
      </c>
      <c r="B67" s="1" t="s">
        <v>285</v>
      </c>
      <c r="C67" s="9">
        <v>254.16070044457155</v>
      </c>
      <c r="D67" s="6">
        <v>179.2</v>
      </c>
      <c r="E67" s="6">
        <v>800</v>
      </c>
      <c r="F67" s="1">
        <f t="array" ref="F67">COUNT(IF((Data!$F$2:$F$251=$A67)*(Data!$H$2:$H$251=$B67)*(Data!$K$2:$K$251=$C67)*(Data!$L$2:$L$251=$D67)*(Data!$M$2:$M$251=$E67),Data!$N$2:$N$251," " ))</f>
        <v>2</v>
      </c>
      <c r="G67" s="16">
        <v>1.819</v>
      </c>
      <c r="H67" s="14">
        <v>0.5</v>
      </c>
      <c r="I67" s="14">
        <f>2*Data!D67</f>
        <v>1.86</v>
      </c>
      <c r="J67" s="14">
        <f t="array" ref="J67">AVERAGE(IF((Data!$F$2:$F$251=$A67)*(Data!$H$2:$H$251=$B67)*(Data!$K$2:$K$251=$C67)*(Data!$L$2:$L$251=$D67)*(Data!$M$2:$M$251=$E67),Data!$N$2:$N$251," " ))</f>
        <v>175.148</v>
      </c>
      <c r="K67" s="14">
        <f t="array" ref="K67">STDEV(IF((Data!$F$2:$F$251=$A67)*(Data!$H$2:$H$251=$B67)*(Data!$K$2:$K$251=$C67)*(Data!$L$2:$L$251=$D67)*(Data!$M$2:$M$251=$E67),Data!$N$2:$N$251," " ))</f>
        <v>6.1108168030141403</v>
      </c>
      <c r="L67" s="14">
        <f t="shared" si="12"/>
        <v>7.8598989999999942</v>
      </c>
      <c r="M67" s="14">
        <f t="shared" si="13"/>
        <v>3.5029599999999999</v>
      </c>
      <c r="N67" s="14">
        <f t="shared" si="14"/>
        <v>17.636138018489298</v>
      </c>
      <c r="O67" s="14">
        <f t="array" ref="O67">AVERAGE(IF((Data!$F$2:$F$251=$A67)*(Data!$H$2:$H$251=$B67)*(Data!$K$2:$K$251=$C67)*(Data!$L$2:$L$251=$D67)*(Data!$M$2:$M$251=$E67),Data!$O$2:$O$251," " ))</f>
        <v>25.858499999999999</v>
      </c>
      <c r="P67" s="14">
        <f t="array" ref="P67">STDEV(IF((Data!$F$2:$F$251=$A67)*(Data!$H$2:$H$251=$B67)*(Data!$K$2:$K$251=$C67)*(Data!$L$2:$L$251=$D67)*(Data!$M$2:$M$251=$E67),Data!$O$2:$O$251," " ))</f>
        <v>0.20435385976291329</v>
      </c>
      <c r="Q67" s="14">
        <f t="shared" si="15"/>
        <v>0.26284550000000134</v>
      </c>
      <c r="R67" s="14">
        <f t="shared" si="16"/>
        <v>1.2929250000000001</v>
      </c>
      <c r="S67" s="14">
        <f t="shared" si="17"/>
        <v>4.669193854401529</v>
      </c>
      <c r="T67" s="1"/>
      <c r="U67" s="1"/>
      <c r="V67" s="1"/>
      <c r="W67" s="1"/>
      <c r="X67" s="1"/>
      <c r="Y67" s="1"/>
    </row>
    <row r="68" spans="1:25" x14ac:dyDescent="0.25">
      <c r="A68" s="1" t="s">
        <v>48</v>
      </c>
      <c r="B68" s="1" t="s">
        <v>285</v>
      </c>
      <c r="C68" s="9">
        <v>254.16070044457155</v>
      </c>
      <c r="D68" s="6">
        <v>195</v>
      </c>
      <c r="E68" s="6">
        <v>800</v>
      </c>
      <c r="F68" s="1">
        <f t="array" ref="F68">COUNT(IF((Data!$F$2:$F$251=$A68)*(Data!$H$2:$H$251=$B68)*(Data!$K$2:$K$251=$C68)*(Data!$L$2:$L$251=$D68)*(Data!$M$2:$M$251=$E68),Data!$N$2:$N$251," " ))</f>
        <v>2</v>
      </c>
      <c r="G68" s="16">
        <v>1.819</v>
      </c>
      <c r="H68" s="14">
        <v>0.5</v>
      </c>
      <c r="I68" s="14">
        <f>2*Data!D68</f>
        <v>1.86</v>
      </c>
      <c r="J68" s="14">
        <f t="array" ref="J68">AVERAGE(IF((Data!$F$2:$F$251=$A68)*(Data!$H$2:$H$251=$B68)*(Data!$K$2:$K$251=$C68)*(Data!$L$2:$L$251=$D68)*(Data!$M$2:$M$251=$E68),Data!$N$2:$N$251," " ))</f>
        <v>183.23399999999998</v>
      </c>
      <c r="K68" s="14">
        <f t="array" ref="K68">STDEV(IF((Data!$F$2:$F$251=$A68)*(Data!$H$2:$H$251=$B68)*(Data!$K$2:$K$251=$C68)*(Data!$L$2:$L$251=$D68)*(Data!$M$2:$M$251=$E68),Data!$N$2:$N$251," " ))</f>
        <v>2.6078098090159991</v>
      </c>
      <c r="L68" s="14">
        <f t="shared" si="12"/>
        <v>3.3542360000000144</v>
      </c>
      <c r="M68" s="14">
        <f t="shared" si="13"/>
        <v>3.6646799999999997</v>
      </c>
      <c r="N68" s="14">
        <f t="shared" si="14"/>
        <v>10.656524507755067</v>
      </c>
      <c r="O68" s="14">
        <f t="array" ref="O68">AVERAGE(IF((Data!$F$2:$F$251=$A68)*(Data!$H$2:$H$251=$B68)*(Data!$K$2:$K$251=$C68)*(Data!$L$2:$L$251=$D68)*(Data!$M$2:$M$251=$E68),Data!$O$2:$O$251," " ))</f>
        <v>28.262500000000003</v>
      </c>
      <c r="P68" s="14">
        <f t="array" ref="P68">STDEV(IF((Data!$F$2:$F$251=$A68)*(Data!$H$2:$H$251=$B68)*(Data!$K$2:$K$251=$C68)*(Data!$L$2:$L$251=$D68)*(Data!$M$2:$M$251=$E68),Data!$O$2:$O$251," " ))</f>
        <v>0.13081475451951038</v>
      </c>
      <c r="Q68" s="14">
        <f t="shared" si="15"/>
        <v>0.16825749999999881</v>
      </c>
      <c r="R68" s="14">
        <f t="shared" si="16"/>
        <v>1.4131250000000002</v>
      </c>
      <c r="S68" s="14">
        <f t="shared" si="17"/>
        <v>4.7895022087608439</v>
      </c>
      <c r="T68" s="1"/>
      <c r="U68" s="1"/>
      <c r="V68" s="1"/>
      <c r="W68" s="1"/>
      <c r="X68" s="1"/>
      <c r="Y68" s="1"/>
    </row>
    <row r="69" spans="1:25" x14ac:dyDescent="0.25">
      <c r="A69" s="1" t="s">
        <v>48</v>
      </c>
      <c r="B69" s="1" t="s">
        <v>285</v>
      </c>
      <c r="C69" s="9">
        <v>255.55400000000003</v>
      </c>
      <c r="D69" s="6">
        <v>195</v>
      </c>
      <c r="E69" s="6">
        <v>800</v>
      </c>
      <c r="F69" s="1">
        <f t="array" ref="F69">COUNT(IF((Data!$F$2:$F$251=$A69)*(Data!$H$2:$H$251=$B69)*(Data!$K$2:$K$251=$C69)*(Data!$L$2:$L$251=$D69)*(Data!$M$2:$M$251=$E69),Data!$N$2:$N$251," " ))</f>
        <v>2</v>
      </c>
      <c r="G69" s="16">
        <v>1.819</v>
      </c>
      <c r="H69" s="14">
        <v>0.5</v>
      </c>
      <c r="I69" s="14">
        <f>2*Data!D69</f>
        <v>1.86</v>
      </c>
      <c r="J69" s="14">
        <f t="array" ref="J69">AVERAGE(IF((Data!$F$2:$F$251=$A69)*(Data!$H$2:$H$251=$B69)*(Data!$K$2:$K$251=$C69)*(Data!$L$2:$L$251=$D69)*(Data!$M$2:$M$251=$E69),Data!$N$2:$N$251," " ))</f>
        <v>179.023</v>
      </c>
      <c r="K69" s="14">
        <f t="array" ref="K69">STDEV(IF((Data!$F$2:$F$251=$A69)*(Data!$H$2:$H$251=$B69)*(Data!$K$2:$K$251=$C69)*(Data!$L$2:$L$251=$D69)*(Data!$M$2:$M$251=$E69),Data!$N$2:$N$251," " ))</f>
        <v>0.27011479041326469</v>
      </c>
      <c r="L69" s="14">
        <f t="shared" si="12"/>
        <v>0.34742900000000448</v>
      </c>
      <c r="M69" s="14">
        <f t="shared" si="13"/>
        <v>3.58046</v>
      </c>
      <c r="N69" s="14">
        <f t="shared" si="14"/>
        <v>8.1608824820949373</v>
      </c>
      <c r="O69" s="14">
        <f t="array" ref="O69">AVERAGE(IF((Data!$F$2:$F$251=$A69)*(Data!$H$2:$H$251=$B69)*(Data!$K$2:$K$251=$C69)*(Data!$L$2:$L$251=$D69)*(Data!$M$2:$M$251=$E69),Data!$O$2:$O$251," " ))</f>
        <v>32.630499999999998</v>
      </c>
      <c r="P69" s="14">
        <f t="array" ref="P69">STDEV(IF((Data!$F$2:$F$251=$A69)*(Data!$H$2:$H$251=$B69)*(Data!$K$2:$K$251=$C69)*(Data!$L$2:$L$251=$D69)*(Data!$M$2:$M$251=$E69),Data!$O$2:$O$251," " ))</f>
        <v>0.5409366876077093</v>
      </c>
      <c r="Q69" s="14">
        <f t="shared" si="15"/>
        <v>0.69576750000000054</v>
      </c>
      <c r="R69" s="14">
        <f t="shared" si="16"/>
        <v>1.6315249999999999</v>
      </c>
      <c r="S69" s="14">
        <f t="shared" si="17"/>
        <v>5.2366272503134113</v>
      </c>
      <c r="T69" s="1"/>
      <c r="U69" s="1"/>
      <c r="V69" s="1"/>
      <c r="W69" s="1"/>
      <c r="X69" s="1"/>
      <c r="Y69" s="1"/>
    </row>
    <row r="70" spans="1:25" x14ac:dyDescent="0.25">
      <c r="A70" s="1" t="s">
        <v>48</v>
      </c>
      <c r="B70" s="1" t="s">
        <v>285</v>
      </c>
      <c r="C70" s="10">
        <v>277.77600000000001</v>
      </c>
      <c r="D70" s="1">
        <v>195</v>
      </c>
      <c r="E70" s="1">
        <v>800</v>
      </c>
      <c r="F70" s="1">
        <f t="array" ref="F70">COUNT(IF((Data!$F$2:$F$251=$A70)*(Data!$H$2:$H$251=$B70)*(Data!$K$2:$K$251=$C70)*(Data!$L$2:$L$251=$D70)*(Data!$M$2:$M$251=$E70),Data!$N$2:$N$251," " ))</f>
        <v>2</v>
      </c>
      <c r="G70" s="16">
        <v>1.819</v>
      </c>
      <c r="H70" s="14">
        <v>0.5</v>
      </c>
      <c r="I70" s="14">
        <f>2*Data!D70</f>
        <v>1.86</v>
      </c>
      <c r="J70" s="14">
        <f t="array" ref="J70">AVERAGE(IF((Data!$F$2:$F$251=$A70)*(Data!$H$2:$H$251=$B70)*(Data!$K$2:$K$251=$C70)*(Data!$L$2:$L$251=$D70)*(Data!$M$2:$M$251=$E70),Data!$N$2:$N$251," " ))</f>
        <v>185.26850000000002</v>
      </c>
      <c r="K70" s="14">
        <f t="array" ref="K70">STDEV(IF((Data!$F$2:$F$251=$A70)*(Data!$H$2:$H$251=$B70)*(Data!$K$2:$K$251=$C70)*(Data!$L$2:$L$251=$D70)*(Data!$M$2:$M$251=$E70),Data!$N$2:$N$251," " ))</f>
        <v>11.266332344645276</v>
      </c>
      <c r="L70" s="14">
        <f t="shared" si="12"/>
        <v>14.491063500000017</v>
      </c>
      <c r="M70" s="14">
        <f t="shared" si="13"/>
        <v>3.7053700000000003</v>
      </c>
      <c r="N70" s="14">
        <f t="shared" si="14"/>
        <v>30.161584056407431</v>
      </c>
      <c r="O70" s="14">
        <f t="array" ref="O70">AVERAGE(IF((Data!$F$2:$F$251=$A70)*(Data!$H$2:$H$251=$B70)*(Data!$K$2:$K$251=$C70)*(Data!$L$2:$L$251=$D70)*(Data!$M$2:$M$251=$E70),Data!$O$2:$O$251," " ))</f>
        <v>27.468499999999999</v>
      </c>
      <c r="P70" s="14">
        <f t="array" ref="P70">STDEV(IF((Data!$F$2:$F$251=$A70)*(Data!$H$2:$H$251=$B70)*(Data!$K$2:$K$251=$C70)*(Data!$L$2:$L$251=$D70)*(Data!$M$2:$M$251=$E70),Data!$O$2:$O$251," " ))</f>
        <v>8.9802561210690759E-2</v>
      </c>
      <c r="Q70" s="14">
        <f t="shared" si="15"/>
        <v>0.11550649999999898</v>
      </c>
      <c r="R70" s="14">
        <f t="shared" si="16"/>
        <v>1.3734250000000001</v>
      </c>
      <c r="S70" s="14">
        <f t="shared" si="17"/>
        <v>4.7367659778237936</v>
      </c>
      <c r="T70" s="1"/>
      <c r="U70" s="1"/>
      <c r="V70" s="1"/>
      <c r="W70" s="1"/>
      <c r="X70" s="1"/>
      <c r="Y70" s="1"/>
    </row>
    <row r="71" spans="1:25" x14ac:dyDescent="0.25">
      <c r="A71" s="1" t="s">
        <v>48</v>
      </c>
      <c r="B71" s="1" t="s">
        <v>285</v>
      </c>
      <c r="C71" s="9">
        <v>322.22000000000003</v>
      </c>
      <c r="D71" s="6">
        <v>195</v>
      </c>
      <c r="E71" s="6">
        <v>800</v>
      </c>
      <c r="F71" s="1">
        <f t="array" ref="F71">COUNT(IF((Data!$F$2:$F$251=$A71)*(Data!$H$2:$H$251=$B71)*(Data!$K$2:$K$251=$C71)*(Data!$L$2:$L$251=$D71)*(Data!$M$2:$M$251=$E71),Data!$N$2:$N$251," " ))</f>
        <v>4</v>
      </c>
      <c r="G71" s="16">
        <v>1.1978</v>
      </c>
      <c r="H71" s="14">
        <v>0.5</v>
      </c>
      <c r="I71" s="14">
        <f>2*Data!D71</f>
        <v>1.86</v>
      </c>
      <c r="J71" s="14">
        <f t="array" ref="J71">AVERAGE(IF((Data!$F$2:$F$251=$A71)*(Data!$H$2:$H$251=$B71)*(Data!$K$2:$K$251=$C71)*(Data!$L$2:$L$251=$D71)*(Data!$M$2:$M$251=$E71),Data!$N$2:$N$251," " ))</f>
        <v>189.34725</v>
      </c>
      <c r="K71" s="14">
        <f t="array" ref="K71">STDEV(IF((Data!$F$2:$F$251=$A71)*(Data!$H$2:$H$251=$B71)*(Data!$K$2:$K$251=$C71)*(Data!$L$2:$L$251=$D71)*(Data!$M$2:$M$251=$E71),Data!$N$2:$N$251," " ))</f>
        <v>5.3499879361234708</v>
      </c>
      <c r="L71" s="14">
        <f t="shared" si="12"/>
        <v>3.2041077749443465</v>
      </c>
      <c r="M71" s="14">
        <f t="shared" si="13"/>
        <v>3.7869450000000002</v>
      </c>
      <c r="N71" s="14">
        <f t="shared" si="14"/>
        <v>10.642717522603673</v>
      </c>
      <c r="O71" s="14">
        <f t="array" ref="O71">AVERAGE(IF((Data!$F$2:$F$251=$A71)*(Data!$H$2:$H$251=$B71)*(Data!$K$2:$K$251=$C71)*(Data!$L$2:$L$251=$D71)*(Data!$M$2:$M$251=$E71),Data!$O$2:$O$251," " ))</f>
        <v>20.936</v>
      </c>
      <c r="P71" s="14">
        <f t="array" ref="P71">STDEV(IF((Data!$F$2:$F$251=$A71)*(Data!$H$2:$H$251=$B71)*(Data!$K$2:$K$251=$C71)*(Data!$L$2:$L$251=$D71)*(Data!$M$2:$M$251=$E71),Data!$O$2:$O$251," " ))</f>
        <v>1.5236309701936785</v>
      </c>
      <c r="Q71" s="14">
        <f t="shared" si="15"/>
        <v>0.91250258804899409</v>
      </c>
      <c r="R71" s="14">
        <f t="shared" si="16"/>
        <v>1.0468</v>
      </c>
      <c r="S71" s="14">
        <f t="shared" si="17"/>
        <v>4.748916176643303</v>
      </c>
      <c r="T71" s="1"/>
      <c r="U71" s="1"/>
      <c r="V71" s="1"/>
      <c r="W71" s="1"/>
      <c r="X71" s="1"/>
      <c r="Y7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Weaver, Jordan S. (Fed)</dc:creator>
  <cp:lastModifiedBy>Weaver, Jordan S. (Fed)</cp:lastModifiedBy>
  <dcterms:created xsi:type="dcterms:W3CDTF">2022-12-13T18:25:42Z</dcterms:created>
  <dcterms:modified xsi:type="dcterms:W3CDTF">2023-09-15T16:47:37Z</dcterms:modified>
</cp:coreProperties>
</file>